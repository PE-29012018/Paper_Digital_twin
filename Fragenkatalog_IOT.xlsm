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DieseArbeitsmappe" defaultThemeVersion="202300"/>
  <mc:AlternateContent xmlns:mc="http://schemas.openxmlformats.org/markup-compatibility/2006">
    <mc:Choice Requires="x15">
      <x15ac:absPath xmlns:x15ac="http://schemas.microsoft.com/office/spreadsheetml/2010/11/ac" url="https://studhdade-my.sharepoint.com/personal/philip_dressel_stud_h-da_de/Documents/"/>
    </mc:Choice>
  </mc:AlternateContent>
  <xr:revisionPtr revIDLastSave="1549" documentId="8_{75A222CD-2F3A-41C3-A051-272A918B56C6}" xr6:coauthVersionLast="47" xr6:coauthVersionMax="47" xr10:uidLastSave="{A17E2C4D-62DD-4F19-8194-6B551FA9B1B0}"/>
  <bookViews>
    <workbookView xWindow="28680" yWindow="-90" windowWidth="29040" windowHeight="15720" activeTab="1" xr2:uid="{1D084AAF-E3AD-4A3A-9688-4F0F5BF15FF5}"/>
  </bookViews>
  <sheets>
    <sheet name="Auswertung" sheetId="2" r:id="rId1"/>
    <sheet name="Fragenkatalog" sheetId="3" r:id="rId2"/>
    <sheet name="Hilfstabelle Antworten" sheetId="5"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3" l="1"/>
  <c r="D2" i="3"/>
  <c r="D3" i="3"/>
  <c r="D4" i="3"/>
  <c r="D26" i="3"/>
  <c r="D25" i="3"/>
  <c r="D24" i="3"/>
  <c r="D23" i="3"/>
  <c r="D22" i="3"/>
  <c r="D21" i="3"/>
  <c r="D20" i="3"/>
  <c r="D19" i="3"/>
  <c r="D18" i="3"/>
  <c r="D17" i="3"/>
  <c r="D16" i="3"/>
  <c r="D15" i="3"/>
  <c r="D14" i="3"/>
  <c r="D13" i="3"/>
  <c r="D12" i="3"/>
  <c r="D11" i="3"/>
  <c r="D10" i="3"/>
  <c r="D9" i="3"/>
  <c r="D8" i="3"/>
  <c r="D7" i="3"/>
  <c r="D6" i="3"/>
  <c r="D5" i="3"/>
  <c r="B26" i="3"/>
  <c r="B25" i="3"/>
  <c r="B24" i="3"/>
  <c r="B23" i="3"/>
  <c r="B22" i="3"/>
  <c r="B21" i="3"/>
  <c r="B20" i="3"/>
  <c r="B19" i="3"/>
  <c r="B18" i="3"/>
  <c r="B17" i="3"/>
  <c r="B16" i="3"/>
  <c r="B15" i="3"/>
  <c r="B14" i="3"/>
  <c r="B13" i="3"/>
  <c r="B12" i="3"/>
  <c r="B11" i="3"/>
  <c r="B10" i="3"/>
  <c r="B9" i="3"/>
  <c r="B8" i="3"/>
  <c r="B7" i="3"/>
  <c r="B6" i="3"/>
  <c r="B4" i="3"/>
  <c r="B3" i="3"/>
  <c r="B2" i="3"/>
  <c r="B13" i="2"/>
  <c r="B12" i="2"/>
  <c r="B11" i="2"/>
</calcChain>
</file>

<file path=xl/sharedStrings.xml><?xml version="1.0" encoding="utf-8"?>
<sst xmlns="http://schemas.openxmlformats.org/spreadsheetml/2006/main" count="343" uniqueCount="164">
  <si>
    <t>Frage</t>
  </si>
  <si>
    <t>Gewichtung</t>
  </si>
  <si>
    <t>Antwortmöglichkeiten</t>
  </si>
  <si>
    <t>Kategorie</t>
  </si>
  <si>
    <t>Begründung</t>
  </si>
  <si>
    <t>Antwortmöglichkeiten:</t>
  </si>
  <si>
    <t>Punktzahl nach Kategorien</t>
  </si>
  <si>
    <t>Gesamtpunktzahl</t>
  </si>
  <si>
    <t>Werkzeug</t>
  </si>
  <si>
    <t>Microsoft Azure IoT</t>
  </si>
  <si>
    <t>PTC ThingWorx</t>
  </si>
  <si>
    <t>Siemens MindSphere</t>
  </si>
  <si>
    <t>Technische Architektur</t>
  </si>
  <si>
    <t>Skalierbarkeit ist entscheidend, wenn Ihre IoT-Lösung im Laufe der Zeit wächst. Eine flexible Plattform hält mit steigenden Anforderungen Schritt.</t>
  </si>
  <si>
    <t>Nahtlose Cloud-Integration ermöglicht effizientes Speichern, Verarbeiten und Analysieren von Daten.</t>
  </si>
  <si>
    <t>Edge-Computing reduziert Latenz und erhöht Effizienz, Hybrid-Computing unterstützt sowohl Cloud- als auch Vor-Ort-Betrieb.</t>
  </si>
  <si>
    <t>Echtzeit-Verarbeitung ist für sofortige Reaktionen entscheidend, während Batch-Verarbeitung große Datenmengen effizient verarbeitet.</t>
  </si>
  <si>
    <t>Welche Protokollunterstützung benötigen Sie?</t>
  </si>
  <si>
    <t>Breite Protokollunterstützung gewährleistet Kompatibilität mit verschiedenen Geräten und Netzwerken.</t>
  </si>
  <si>
    <t>Funktionalitäten und Anwendungsfälle</t>
  </si>
  <si>
    <t>Effektive Geräteverwaltung reduziert Betriebskosten und erhöht Zuverlässigkeit.</t>
  </si>
  <si>
    <t>Klar visualisierte Daten erleichtern Einblicke und Entscheidungen.</t>
  </si>
  <si>
    <t>Fortgeschrittene Analytics- und KI/ML-Funktionen helfen, datengetriebene Entscheidungen zu treffen und Prozesse zu optimieren.</t>
  </si>
  <si>
    <t>Eine umfassende Bibliothek spart Zeit und Ressourcen, da bewährte Lösungen schnell implementiert werden können.</t>
  </si>
  <si>
    <t>Nahtlose Integration in bestehende Systeme maximiert die Betriebseffizienz und vermeidet Silos.</t>
  </si>
  <si>
    <t>Datenmanagement und Sicherheit</t>
  </si>
  <si>
    <t>Effiziente Datenaufnahme und -verarbeitung gewährleistet wertvolle Echtzeit-Einblicke und Systemleistung.</t>
  </si>
  <si>
    <t>Wie wichtig sind Sicherheitsfunktionen für Ihre IoT-Plattform?</t>
  </si>
  <si>
    <t>Sicherheit schützt die Integrität und Vertraulichkeit von Daten, was entscheidend für das Vertrauen in die IoT-Lösung ist.</t>
  </si>
  <si>
    <t>Welche Anforderungen haben Sie an die Datenhaltung und -speicherung?</t>
  </si>
  <si>
    <t>Flexible und skalierbare Speicherlösungen sind entscheidend, um wachsende Datenmengen effizient zu verwalten.</t>
  </si>
  <si>
    <t>Die Einhaltung von Compliance- und Datenschutzanforderungen ist unerlässlich, um rechtliche Risiken zu minimieren und das Vertrauen der Kunden zu sichern.</t>
  </si>
  <si>
    <t>Kostenstruktur und Lizenzmodell</t>
  </si>
  <si>
    <t>Flexibilität bei den Lizenzkosten ermöglicht es Unternehmen, ihre IoT-Lösung entsprechend ihrem Budget und ihren Bedürfnissen zu skalieren.</t>
  </si>
  <si>
    <t>Eine skalierbare Kostenstruktur stellt sicher, dass die Betriebskosten nicht außer Kontrolle geraten, wenn die Nutzung der IoT-Plattform zunimmt.</t>
  </si>
  <si>
    <t>Niedrige Gesamtbetriebskosten sind entscheidend, um die Rentabilität der IoT-Lösung sicherzustellen.</t>
  </si>
  <si>
    <t>Ein flexibles Lizenzmodell ermöglicht es Unternehmen, die Plattform optimal an ihre spezifischen Anforderungen anzupassen.</t>
  </si>
  <si>
    <t>Innovationspotenzial und Zukunftsfähigkeit</t>
  </si>
  <si>
    <t>Wie wichtig ist Ihnen die Innovationskraft des Anbieters?</t>
  </si>
  <si>
    <t>Ein Anbieter mit hoher Innovationskraft kann schneller auf technologische Veränderungen reagieren und innovative Lösungen bereitstellen.</t>
  </si>
  <si>
    <t>Stetige technologische Weiterentwicklung stellt sicher, dass die Plattform immer auf dem neuesten Stand ist und Sie von den neuesten Funktionen profitieren.</t>
  </si>
  <si>
    <t>Wie wichtig ist Ihnen eine klare Roadmap und Zukunftsvision des Anbieters?</t>
  </si>
  <si>
    <t>Eine klare Roadmap gibt Ihnen Vertrauen in die langfristige Unterstützung und Weiterentwicklung der Plattform, was für die strategische Planung entscheidend ist.</t>
  </si>
  <si>
    <t>Umfangreiche F&amp;E-Aktivitäten zeigen, dass der Anbieter in die Zukunft investiert und innovative Technologien entwickelt, die Ihnen helfen können, sich weiterzuentwickeln.</t>
  </si>
  <si>
    <t>Ein starkes Netzwerk ermöglicht Zugang zu zusätzlichen Ressourcen, Support und Integrationen, die den Erfolg Ihrer IoT-Lösung unterstützen.</t>
  </si>
  <si>
    <t>---</t>
  </si>
  <si>
    <r>
      <t>A:</t>
    </r>
    <r>
      <rPr>
        <sz val="11"/>
        <color theme="1"/>
        <rFont val="Aptos Narrow"/>
        <family val="2"/>
        <scheme val="minor"/>
      </rPr>
      <t xml:space="preserve"> Hochentwickelte und skalierbare Geräteverwaltung</t>
    </r>
  </si>
  <si>
    <r>
      <t>A:</t>
    </r>
    <r>
      <rPr>
        <sz val="11"/>
        <color theme="1"/>
        <rFont val="Aptos Narrow"/>
        <family val="2"/>
        <scheme val="minor"/>
      </rPr>
      <t xml:space="preserve"> Vollständig integrierte, fortschrittliche Analytics- und KI/ML-Module</t>
    </r>
  </si>
  <si>
    <r>
      <t>B:</t>
    </r>
    <r>
      <rPr>
        <sz val="11"/>
        <color theme="1"/>
        <rFont val="Aptos Narrow"/>
        <family val="2"/>
        <scheme val="minor"/>
      </rPr>
      <t xml:space="preserve"> Umfangreiche, branchenspezifische Analytics- und KI-Funktionen</t>
    </r>
  </si>
  <si>
    <r>
      <t>C:</t>
    </r>
    <r>
      <rPr>
        <sz val="11"/>
        <color theme="1"/>
        <rFont val="Aptos Narrow"/>
        <family val="2"/>
        <scheme val="minor"/>
      </rPr>
      <t xml:space="preserve"> Gute Analytics- und KI/ML-Integration mit No-Code-Optionen</t>
    </r>
  </si>
  <si>
    <r>
      <t>A:</t>
    </r>
    <r>
      <rPr>
        <sz val="11"/>
        <color theme="1"/>
        <rFont val="Aptos Narrow"/>
        <family val="2"/>
        <scheme val="minor"/>
      </rPr>
      <t xml:space="preserve"> Vollständig integrierbare Plattform mit breitem Ecosystem-Support</t>
    </r>
  </si>
  <si>
    <r>
      <t>A:</t>
    </r>
    <r>
      <rPr>
        <sz val="11"/>
        <color theme="1"/>
        <rFont val="Aptos Narrow"/>
        <family val="2"/>
        <scheme val="minor"/>
      </rPr>
      <t xml:space="preserve"> Hochentwickelte, skalierbare Datenaufnahme- und Verarbeitungsfähigkeiten</t>
    </r>
  </si>
  <si>
    <r>
      <t>B:</t>
    </r>
    <r>
      <rPr>
        <sz val="11"/>
        <color theme="1"/>
        <rFont val="Aptos Narrow"/>
        <family val="2"/>
        <scheme val="minor"/>
      </rPr>
      <t xml:space="preserve"> Umfassende Funktionen zur industriellen Datenverarbeitung</t>
    </r>
  </si>
  <si>
    <r>
      <t>C:</t>
    </r>
    <r>
      <rPr>
        <sz val="11"/>
        <color theme="1"/>
        <rFont val="Aptos Narrow"/>
        <family val="2"/>
        <scheme val="minor"/>
      </rPr>
      <t xml:space="preserve"> Gute Datenverarbeitung mit Fokus auf Benutzerfreundlichkeit</t>
    </r>
  </si>
  <si>
    <r>
      <t>A:</t>
    </r>
    <r>
      <rPr>
        <sz val="11"/>
        <color theme="1"/>
        <rFont val="Aptos Narrow"/>
        <family val="2"/>
        <scheme val="minor"/>
      </rPr>
      <t xml:space="preserve"> Umfangreiche Visualisierung und Reporting mit flexiblen Anpassungsoptionen</t>
    </r>
  </si>
  <si>
    <r>
      <t>C:</t>
    </r>
    <r>
      <rPr>
        <sz val="11"/>
        <color theme="1"/>
        <rFont val="Aptos Narrow"/>
        <family val="2"/>
        <scheme val="minor"/>
      </rPr>
      <t xml:space="preserve"> Benutzerfreundliche Visualisierungs- und Reporting-Tools</t>
    </r>
  </si>
  <si>
    <r>
      <t>A:</t>
    </r>
    <r>
      <rPr>
        <sz val="11"/>
        <color theme="1"/>
        <rFont val="Aptos Narrow"/>
        <family val="2"/>
        <scheme val="minor"/>
      </rPr>
      <t xml:space="preserve"> Vollständig flexible und skalierbare Speicherlösungen</t>
    </r>
  </si>
  <si>
    <r>
      <t>B:</t>
    </r>
    <r>
      <rPr>
        <sz val="11"/>
        <color theme="1"/>
        <rFont val="Aptos Narrow"/>
        <family val="2"/>
        <scheme val="minor"/>
      </rPr>
      <t xml:space="preserve"> Umfangreiche, branchenspezifische Speicherlösungen</t>
    </r>
  </si>
  <si>
    <r>
      <t>C:</t>
    </r>
    <r>
      <rPr>
        <sz val="11"/>
        <color theme="1"/>
        <rFont val="Aptos Narrow"/>
        <family val="2"/>
        <scheme val="minor"/>
      </rPr>
      <t xml:space="preserve"> Gute Speicherlösungen, leicht zu verwalten</t>
    </r>
  </si>
  <si>
    <r>
      <t>A:</t>
    </r>
    <r>
      <rPr>
        <sz val="11"/>
        <color theme="1"/>
        <rFont val="Aptos Narrow"/>
        <family val="2"/>
        <scheme val="minor"/>
      </rPr>
      <t xml:space="preserve"> Sehr hohe Innovationskraft, führend im Markt</t>
    </r>
  </si>
  <si>
    <r>
      <t>B:</t>
    </r>
    <r>
      <rPr>
        <sz val="11"/>
        <color theme="1"/>
        <rFont val="Aptos Narrow"/>
        <family val="2"/>
        <scheme val="minor"/>
      </rPr>
      <t xml:space="preserve"> Hohe Innovationskraft mit Fokus auf industrielle Anwendungen</t>
    </r>
  </si>
  <si>
    <r>
      <t>C:</t>
    </r>
    <r>
      <rPr>
        <sz val="11"/>
        <color theme="1"/>
        <rFont val="Aptos Narrow"/>
        <family val="2"/>
        <scheme val="minor"/>
      </rPr>
      <t xml:space="preserve"> Gute Innovationskraft, stark in spezifischen Nischen</t>
    </r>
  </si>
  <si>
    <r>
      <t>A:</t>
    </r>
    <r>
      <rPr>
        <sz val="11"/>
        <color theme="1"/>
        <rFont val="Aptos Narrow"/>
        <family val="2"/>
        <scheme val="minor"/>
      </rPr>
      <t xml:space="preserve"> Umfangreiche F&amp;E-Aktivitäten, führend im Markt</t>
    </r>
  </si>
  <si>
    <r>
      <t>B:</t>
    </r>
    <r>
      <rPr>
        <sz val="11"/>
        <color theme="1"/>
        <rFont val="Aptos Narrow"/>
        <family val="2"/>
        <scheme val="minor"/>
      </rPr>
      <t xml:space="preserve"> Gute F&amp;E mit Fokus auf industrielle Anwendungen</t>
    </r>
  </si>
  <si>
    <r>
      <t>C:</t>
    </r>
    <r>
      <rPr>
        <sz val="11"/>
        <color theme="1"/>
        <rFont val="Aptos Narrow"/>
        <family val="2"/>
        <scheme val="minor"/>
      </rPr>
      <t xml:space="preserve"> F&amp;E mit Schwerpunkt auf spezifische Technologien</t>
    </r>
  </si>
  <si>
    <t>A: Vollständig integrierbare Plattform mit breitem Ecosystem-Support</t>
  </si>
  <si>
    <t>A: Umfangreiche Visualisierung und Reporting mit flexiblen Anpassungsoptionen</t>
  </si>
  <si>
    <t>A: Vollständig flexible und skalierbare Speicherlösungen</t>
  </si>
  <si>
    <t>A: Hochentwickelte und skalierbare Geräteverwaltung</t>
  </si>
  <si>
    <t>C: Gute Datenverarbeitung mit Fokus auf Benutzerfreundlichkeit</t>
  </si>
  <si>
    <t>C: Gute Innovationskraft, stark in spezifischen Nischen</t>
  </si>
  <si>
    <t>C: F&amp;E mit Schwerpunkt auf spezifische Technologien</t>
  </si>
  <si>
    <t>B: Die Plattform muss in der Lage sein, die meisten Anforderungen großer Anwendungen zu unterstützen.</t>
  </si>
  <si>
    <t>C: Die Plattform sollte grundlegende Skalierbarkeit für mittlere bis große Anwendungen ermöglichen.</t>
  </si>
  <si>
    <t>Wie sollte die Skalierbarkeit Ihrer IoT-Plattform gestaltet sein, um zukünftigen Anforderungen gerecht zu werden?</t>
  </si>
  <si>
    <t>Welche Art der Cloud-Integration ist für Ihre Anwendung erforderlich?</t>
  </si>
  <si>
    <t>A: Umfassende Integration mit allen führenden Cloud-Anbietern.</t>
  </si>
  <si>
    <t>B: Breite Integration mit gängigen Cloud-Diensten.</t>
  </si>
  <si>
    <t>C: Unterstützung mehrerer Cloud-Plattformen in begrenztem Umfang.</t>
  </si>
  <si>
    <t>Wie sollten Edge- und Hybrid-Computing in Ihrer Architektur unterstützt werden?</t>
  </si>
  <si>
    <t>A: Umfassende Unterstützung für Edge- und Hybrid-Computing.</t>
  </si>
  <si>
    <t>B: Gute Unterstützung für hybride Architekturen.</t>
  </si>
  <si>
    <t>C: Grundlegende Unterstützung für Edge-Computing.</t>
  </si>
  <si>
    <t>Welche Echtzeit- und Batch-Verarbeitungsfähigkeiten benötigen Ihre Anwendungen?</t>
  </si>
  <si>
    <t>B: Sehr gute Echtzeit-Verarbeitung für industrielle Anwendungen.</t>
  </si>
  <si>
    <t>C: Gute Echtzeit- und Batch-Verarbeitung für spezialisierte Anwendungen.</t>
  </si>
  <si>
    <r>
      <t>B:</t>
    </r>
    <r>
      <rPr>
        <sz val="11"/>
        <color theme="1"/>
        <rFont val="Aptos Narrow"/>
        <family val="2"/>
        <scheme val="minor"/>
      </rPr>
      <t xml:space="preserve"> Breit: Unterstützung gängiger industrieller Protokolle wie Profinet, Modbus und OPC UA, die in industriellen Umgebungen weit verbreitet sind und eine robuste Kommunikation zwischen Geräten und Systemen ermöglichen.</t>
    </r>
  </si>
  <si>
    <t>B: Breit: Unterstützung gängiger industrieller Protokolle wie Profinet, Modbus und OPC UA, die in industriellen Umgebungen weit verbreitet sind und eine robuste Kommunikation zwischen Geräten und Systemen ermöglichen.</t>
  </si>
  <si>
    <t>B: Umfangreiche, branchenspezifische Analytics- und KI-Funktionen</t>
  </si>
  <si>
    <t>B: Moderate Gesamtbetriebskosten für industrielle Anwendungen</t>
  </si>
  <si>
    <t>Empfohlenes Werkzeug:</t>
  </si>
  <si>
    <t>Wie umfassend soll die Geräteverwaltung auf der  IoT-Plattform sein?</t>
  </si>
  <si>
    <r>
      <t>B:</t>
    </r>
    <r>
      <rPr>
        <sz val="11"/>
        <color theme="1"/>
        <rFont val="Aptos Narrow"/>
        <family val="2"/>
        <scheme val="minor"/>
      </rPr>
      <t xml:space="preserve"> Geräteverwaltung für industrielle Geräte ist aussreichend</t>
    </r>
  </si>
  <si>
    <r>
      <t>C:</t>
    </r>
    <r>
      <rPr>
        <sz val="11"/>
        <color theme="1"/>
        <rFont val="Aptos Narrow"/>
        <family val="2"/>
        <scheme val="minor"/>
      </rPr>
      <t xml:space="preserve"> Minimale Geräteverwaltung mit benutzerfreundlicher Oberfläche</t>
    </r>
  </si>
  <si>
    <t>In welchen Umfang  sollen die IoT-Daten visualiert werden?</t>
  </si>
  <si>
    <r>
      <t>A:</t>
    </r>
    <r>
      <rPr>
        <sz val="11"/>
        <color theme="1"/>
        <rFont val="Aptos Narrow"/>
        <family val="2"/>
        <scheme val="minor"/>
      </rPr>
      <t xml:space="preserve"> Es wird die höchste Möglichkeit von  Visualisierungstools benötigt.</t>
    </r>
  </si>
  <si>
    <t>In welchem Umfang werden fortgeschrittene Analytics- und KI/ML-Funktionen benötigt?</t>
  </si>
  <si>
    <t>Wie wichtig ist ein starkes Community- und Partnernetzwerk?</t>
  </si>
  <si>
    <t>A: Sehr starkes Netzwerk mit umfangreichem Support und Ressourcen soll vorhanden sein</t>
  </si>
  <si>
    <r>
      <t>B:</t>
    </r>
    <r>
      <rPr>
        <sz val="11"/>
        <color theme="1"/>
        <rFont val="Aptos Narrow"/>
        <family val="2"/>
        <scheme val="minor"/>
      </rPr>
      <t xml:space="preserve"> Es soll ein Netzwerk mit Fokus auf industrielle Anwendungen vorhanden sein</t>
    </r>
  </si>
  <si>
    <r>
      <t>C:</t>
    </r>
    <r>
      <rPr>
        <sz val="11"/>
        <color theme="1"/>
        <rFont val="Aptos Narrow"/>
        <family val="2"/>
        <scheme val="minor"/>
      </rPr>
      <t xml:space="preserve"> Ein kleines Netzwerk mit Nischenfokus ist ausreichend</t>
    </r>
  </si>
  <si>
    <t>Soll der der Anbieter weiter umfangreiche Forschung und Entwicklung betreiben?</t>
  </si>
  <si>
    <t>A: Die Plattform sollte eine sehr gute Skalierbarkeit bieten, um wachsende Anforderungen problemlos zu bewältigen.</t>
  </si>
  <si>
    <t>Wird eine große Bibliothek vordefinierter Modelle und Algorithmen benötigt?</t>
  </si>
  <si>
    <r>
      <rPr>
        <b/>
        <sz val="11"/>
        <color theme="1"/>
        <rFont val="Aptos Narrow"/>
        <family val="2"/>
        <scheme val="minor"/>
      </rPr>
      <t>A:</t>
    </r>
    <r>
      <rPr>
        <sz val="11"/>
        <color theme="1"/>
        <rFont val="Aptos Narrow"/>
        <family val="2"/>
        <scheme val="minor"/>
      </rPr>
      <t xml:space="preserve"> Umfangreiche Bibliothek mit hochentwickelten Modellen muss vorhanden sein.</t>
    </r>
  </si>
  <si>
    <r>
      <t>B:</t>
    </r>
    <r>
      <rPr>
        <sz val="11"/>
        <color theme="1"/>
        <rFont val="Aptos Narrow"/>
        <family val="2"/>
        <scheme val="minor"/>
      </rPr>
      <t xml:space="preserve"> Große Auswahl branchenspezifischer Modelle und Algorithmen ist ausreichend</t>
    </r>
  </si>
  <si>
    <r>
      <t>C:</t>
    </r>
    <r>
      <rPr>
        <sz val="11"/>
        <color theme="1"/>
        <rFont val="Aptos Narrow"/>
        <family val="2"/>
        <scheme val="minor"/>
      </rPr>
      <t xml:space="preserve"> Es wird nicht benötigt. Eine Auswahl an gängigen Modellen sollte für die Zukunft vorhanden sein.</t>
    </r>
  </si>
  <si>
    <t>Soll das Tool in bestehende Systeme integriert werden?</t>
  </si>
  <si>
    <r>
      <t>B:</t>
    </r>
    <r>
      <rPr>
        <sz val="11"/>
        <color theme="1"/>
        <rFont val="Aptos Narrow"/>
        <family val="2"/>
        <scheme val="minor"/>
      </rPr>
      <t xml:space="preserve"> Umfangreiche Integrationsmöglichkeiten mit industriellen Systemen</t>
    </r>
  </si>
  <si>
    <r>
      <t>C:</t>
    </r>
    <r>
      <rPr>
        <sz val="11"/>
        <color theme="1"/>
        <rFont val="Aptos Narrow"/>
        <family val="2"/>
        <scheme val="minor"/>
      </rPr>
      <t xml:space="preserve"> Integrationsmöglichkeiten mit Standard-APIs</t>
    </r>
  </si>
  <si>
    <t>In welchem Umfang müssen Daten aufgenomen und verarbeitet werden?</t>
  </si>
  <si>
    <r>
      <t>B:</t>
    </r>
    <r>
      <rPr>
        <sz val="11"/>
        <color theme="1"/>
        <rFont val="Aptos Narrow"/>
        <family val="2"/>
        <scheme val="minor"/>
      </rPr>
      <t xml:space="preserve"> Meine industriellen Anwendungen sollen umfassend abgesichert werden.</t>
    </r>
  </si>
  <si>
    <r>
      <t>C:</t>
    </r>
    <r>
      <rPr>
        <sz val="11"/>
        <color theme="1"/>
        <rFont val="Aptos Narrow"/>
        <family val="2"/>
        <scheme val="minor"/>
      </rPr>
      <t xml:space="preserve"> Einfache Sicherheitsfunktionen, welche einfach zu verwalten sind.</t>
    </r>
  </si>
  <si>
    <t>Wie sollen die Daten visualisiert und berichtet werden?</t>
  </si>
  <si>
    <r>
      <t>B:</t>
    </r>
    <r>
      <rPr>
        <sz val="11"/>
        <color theme="1"/>
        <rFont val="Aptos Narrow"/>
        <family val="2"/>
        <scheme val="minor"/>
      </rPr>
      <t xml:space="preserve">  Visualisierung und branchenspezifische Reporting-Tools</t>
    </r>
  </si>
  <si>
    <t>Welchen Umfang von Compliance- und Datenschutzanforderungen werden benötigt?</t>
  </si>
  <si>
    <t>A: Es wird die höchste Möglichkeit von  Visualisierungstools benötigt.</t>
  </si>
  <si>
    <t>Wie soll die Flexibilität bei den Lizenzkosten gestaltet werden?</t>
  </si>
  <si>
    <r>
      <t>C:</t>
    </r>
    <r>
      <rPr>
        <sz val="11"/>
        <color theme="1"/>
        <rFont val="Aptos Narrow"/>
        <family val="2"/>
        <scheme val="minor"/>
      </rPr>
      <t xml:space="preserve"> - Lizenzmodelle: Nutzungsbasiert und fest.
- Skalierbar: Anpassbare Pakete.
- Verträge: Flexible Laufzeiten.</t>
    </r>
  </si>
  <si>
    <r>
      <t>B:</t>
    </r>
    <r>
      <rPr>
        <sz val="11"/>
        <color theme="1"/>
        <rFont val="Aptos Narrow"/>
        <family val="2"/>
        <scheme val="minor"/>
      </rPr>
      <t xml:space="preserve"> - Modular: Preis nach Bedarf.
- Abos: Monatlich/jährlich.
- Nutzung: Kosten nach tatsächlicher Nutzung.</t>
    </r>
  </si>
  <si>
    <t xml:space="preserve">
Wie sollen die Kosten für die Skalierbarkeit bei steigender Nutzung gehandhabt werden?</t>
  </si>
  <si>
    <r>
      <t>A:</t>
    </r>
    <r>
      <rPr>
        <sz val="11"/>
        <color theme="1"/>
        <rFont val="Aptos Narrow"/>
        <family val="2"/>
        <scheme val="minor"/>
      </rPr>
      <t xml:space="preserve"> Die Kosten sollten proportional zur Nutzung steigen, mit Rabatten bei größerem Volumen.</t>
    </r>
  </si>
  <si>
    <r>
      <t xml:space="preserve">C: </t>
    </r>
    <r>
      <rPr>
        <sz val="11"/>
        <color theme="1"/>
        <rFont val="Aptos Narrow"/>
        <family val="2"/>
        <scheme val="minor"/>
      </rPr>
      <t>Die Kosten sollten gestaffelt und abhängig vom tatsächlichen Verbrauch mit Optionen für Volumenrabatte sein.</t>
    </r>
  </si>
  <si>
    <r>
      <t xml:space="preserve">B: </t>
    </r>
    <r>
      <rPr>
        <sz val="11"/>
        <color theme="1"/>
        <rFont val="Aptos Narrow"/>
        <family val="2"/>
        <scheme val="minor"/>
      </rPr>
      <t>Die Skalierungskosten sollten flexibel und modular an die genutzten Services gekoppelt sein.</t>
    </r>
  </si>
  <si>
    <t>Wie wichtig sind niedrige Gesamtbetriebskosten (TCO)?</t>
  </si>
  <si>
    <r>
      <t>B:</t>
    </r>
    <r>
      <rPr>
        <sz val="11"/>
        <color theme="1"/>
        <rFont val="Aptos Narrow"/>
        <family val="2"/>
        <scheme val="minor"/>
      </rPr>
      <t xml:space="preserve"> Niedrige TCO sind wichtig, um den wirtschaftlichen Betrieb und die nachhaltige Nutzung der Plattform zu ermöglichen.</t>
    </r>
  </si>
  <si>
    <r>
      <t xml:space="preserve">A: </t>
    </r>
    <r>
      <rPr>
        <sz val="11"/>
        <color theme="1"/>
        <rFont val="Aptos Narrow"/>
        <family val="2"/>
        <scheme val="minor"/>
      </rPr>
      <t>Niedrige Gesamtbetriebskosten (TCO) sind entscheidend, um eine kosteneffiziente Skalierung und langfristige Rentabilität zu gewährleisten</t>
    </r>
  </si>
  <si>
    <r>
      <t>C:</t>
    </r>
    <r>
      <rPr>
        <sz val="11"/>
        <color theme="1"/>
        <rFont val="Aptos Narrow"/>
        <family val="2"/>
        <scheme val="minor"/>
      </rPr>
      <t xml:space="preserve"> Geringe TCO sind entscheidend, um die Gesamteffizienz und den ROI bei der Implementierung und Nutzung der Plattform zu maximieren.</t>
    </r>
  </si>
  <si>
    <r>
      <t>B:</t>
    </r>
    <r>
      <rPr>
        <sz val="11"/>
        <color theme="1"/>
        <rFont val="Aptos Narrow"/>
        <family val="2"/>
        <scheme val="minor"/>
      </rPr>
      <t xml:space="preserve"> Wichtig für bedarfsgerechte Modulbuchung und Anpassung</t>
    </r>
  </si>
  <si>
    <r>
      <t>A:</t>
    </r>
    <r>
      <rPr>
        <sz val="11"/>
        <color theme="1"/>
        <rFont val="Aptos Narrow"/>
        <family val="2"/>
        <scheme val="minor"/>
      </rPr>
      <t xml:space="preserve"> flexibles Lizenzmodell, vollständig anpassbar</t>
    </r>
  </si>
  <si>
    <r>
      <t>C:</t>
    </r>
    <r>
      <rPr>
        <sz val="11"/>
        <color theme="1"/>
        <rFont val="Aptos Narrow"/>
        <family val="2"/>
        <scheme val="minor"/>
      </rPr>
      <t xml:space="preserve"> Wichtig für Kombination aus festen und nutzungsbasierten Modellen</t>
    </r>
  </si>
  <si>
    <t>Welche Bedeutung haben niedrige Gesamtkosten pro Gerät?</t>
  </si>
  <si>
    <r>
      <t>A:</t>
    </r>
    <r>
      <rPr>
        <sz val="11"/>
        <color theme="1"/>
        <rFont val="Aptos Narrow"/>
        <family val="2"/>
        <scheme val="minor"/>
      </rPr>
      <t xml:space="preserve"> Niedrige Gesamtkosten pro Gerät sind entscheidend für die Skalierbarkeit und Rentabilität großer IoT-Implementierungen. (Hoch)</t>
    </r>
  </si>
  <si>
    <r>
      <t>B:</t>
    </r>
    <r>
      <rPr>
        <sz val="11"/>
        <color theme="1"/>
        <rFont val="Aptos Narrow"/>
        <family val="2"/>
        <scheme val="minor"/>
      </rPr>
      <t xml:space="preserve"> Geringe Kosten pro Gerät ermöglichen eine effiziente Kostenkontrolle und machen die Lösung für kostenbewusste Unternehmen attraktiv. (Hoch)</t>
    </r>
  </si>
  <si>
    <r>
      <t>C:</t>
    </r>
    <r>
      <rPr>
        <sz val="11"/>
        <color theme="1"/>
        <rFont val="Aptos Narrow"/>
        <family val="2"/>
        <scheme val="minor"/>
      </rPr>
      <t xml:space="preserve"> Niedrige Kosten pro Gerät fördern die Wirtschaftlichkeit und Flexibilität, besonders bei Projekten mit variabler Größe. (Mittel)</t>
    </r>
  </si>
  <si>
    <t>Benötigen Sie kontinuierliche technologische Weiterentwicklung?</t>
  </si>
  <si>
    <r>
      <t>A:</t>
    </r>
    <r>
      <rPr>
        <sz val="11"/>
        <color theme="1"/>
        <rFont val="Aptos Narrow"/>
        <family val="2"/>
        <scheme val="minor"/>
      </rPr>
      <t xml:space="preserve"> Kontinuierliche technologische Weiterentwicklung ist sehr wichtig, um wettbewerbsfähig zu bleiben und aktuelle IoT-Trends zu unterstützen.</t>
    </r>
  </si>
  <si>
    <r>
      <t>B:</t>
    </r>
    <r>
      <rPr>
        <sz val="11"/>
        <color theme="1"/>
        <rFont val="Aptos Narrow"/>
        <family val="2"/>
        <scheme val="minor"/>
      </rPr>
      <t xml:space="preserve"> Technologische Weiterentwicklung ist kritisch, um neue industrielle Anwendungen zu integrieren und Marktanforderungen gerecht zu werden.</t>
    </r>
  </si>
  <si>
    <r>
      <t>C:</t>
    </r>
    <r>
      <rPr>
        <sz val="11"/>
        <color theme="1"/>
        <rFont val="Aptos Narrow"/>
        <family val="2"/>
        <scheme val="minor"/>
      </rPr>
      <t xml:space="preserve"> Ständige Weiterentwicklung ist essenziell, um Unterstützung für neue IoT-Geräte und innovative Technologien wie AI und Machine Learning zu gewährleisten.</t>
    </r>
  </si>
  <si>
    <r>
      <rPr>
        <b/>
        <sz val="11"/>
        <color rgb="FF000000"/>
        <rFont val="Aptos Narrow"/>
        <scheme val="minor"/>
      </rPr>
      <t>A:</t>
    </r>
    <r>
      <rPr>
        <sz val="11"/>
        <color rgb="FF000000"/>
        <rFont val="Aptos Narrow"/>
        <scheme val="minor"/>
      </rPr>
      <t xml:space="preserve"> Umfassend: Unterstützung aller relevanten IoT-Protokolle, wie MQTT, AMQP und OPC UA, um eine nahtlose Integration verschiedenster Geräte und Dienste zu ermöglichen. Insbesondere in komplexen, heterogenen Umgebungen.</t>
    </r>
  </si>
  <si>
    <r>
      <rPr>
        <b/>
        <sz val="11"/>
        <color rgb="FF000000"/>
        <rFont val="Aptos Narrow"/>
        <scheme val="minor"/>
      </rPr>
      <t>C:</t>
    </r>
    <r>
      <rPr>
        <sz val="11"/>
        <color rgb="FF000000"/>
        <rFont val="Aptos Narrow"/>
        <scheme val="minor"/>
      </rPr>
      <t xml:space="preserve"> Grundlegend: Unterstützung der wichtigsten IoT-Protokolle, wie HTTP/REST, CoAP und MQTT, um eine schnelle und einfache Implementierung von IoT-Lösungen zu ermöglichen, die eine flexible, aber weniger komplexe Protokollintegration erfordern.</t>
    </r>
  </si>
  <si>
    <t>Effiziente Visualisierungs- und Reporting-Tools erleichtern die Datenanalyse und fördern eine schnelle Entscheidungsfindung.</t>
  </si>
  <si>
    <r>
      <rPr>
        <b/>
        <sz val="11"/>
        <color rgb="FF000000"/>
        <rFont val="Aptos Narrow"/>
        <scheme val="minor"/>
      </rPr>
      <t xml:space="preserve">A: - </t>
    </r>
    <r>
      <rPr>
        <sz val="11"/>
        <color rgb="FF000000"/>
        <rFont val="Aptos Narrow"/>
        <scheme val="minor"/>
      </rPr>
      <t>Gesetze: DSGVO, CCPA
- Zertifizierungen: ISO 27001, ISO 27018, SOC 1/2/3
- Sicherheit: Datenverschlüsselung, MFA
- Datenlokalität: regional anpassbar
- Verträge: AVV, Datenschutzklauseln</t>
    </r>
  </si>
  <si>
    <r>
      <rPr>
        <b/>
        <sz val="11"/>
        <color rgb="FF000000"/>
        <rFont val="Aptos Narrow"/>
        <scheme val="minor"/>
      </rPr>
      <t>B:</t>
    </r>
    <r>
      <rPr>
        <sz val="11"/>
        <color rgb="FF000000"/>
        <rFont val="Aptos Narrow"/>
        <scheme val="minor"/>
      </rPr>
      <t xml:space="preserve"> - Gesetze: DSGVO, CCPA
- Zertifizierungen: ISO 27001, ISO 27017, ISO 27018
- Sicherheit: Verschlüsselung, rollenbasierter Zugriff
- Datenlokalität: unterstützt
- Verträge: AVV, Datenschutzklauseln</t>
    </r>
  </si>
  <si>
    <r>
      <rPr>
        <b/>
        <sz val="11"/>
        <color rgb="FF000000"/>
        <rFont val="Aptos Narrow"/>
        <scheme val="minor"/>
      </rPr>
      <t>C:</t>
    </r>
    <r>
      <rPr>
        <sz val="11"/>
        <color rgb="FF000000"/>
        <rFont val="Aptos Narrow"/>
        <scheme val="minor"/>
      </rPr>
      <t xml:space="preserve"> - Gesetze: DSGVO, CCPA
- Zertifizierungen: ISO 27001, ISO 27018, SOC 2
- Sicherheit: Verschlüsselung, MFA, rollenbasierter Zugriff
- Datenlokalität: unterstützt
- Verträge: AVV, Datenschutzklauseln</t>
    </r>
  </si>
  <si>
    <t>Geringe Kosten pro Gerät sind entscheidend, wenn viele IoT-Geräte im Einsatz sind, da dies die Betriebskosten direkt beeinflusst.</t>
  </si>
  <si>
    <t>A: Umfassende Echtzeit- und Batch-Verarbeitungsfähigkeiten für vielseitige Anwendungen.</t>
  </si>
  <si>
    <r>
      <t>B:</t>
    </r>
    <r>
      <rPr>
        <sz val="11"/>
        <color theme="1"/>
        <rFont val="Aptos Narrow"/>
        <family val="2"/>
        <scheme val="minor"/>
      </rPr>
      <t xml:space="preserve"> Es werden nur Visualisierungstools für industrielle Anwendungen benötigt.</t>
    </r>
  </si>
  <si>
    <r>
      <rPr>
        <b/>
        <sz val="11"/>
        <color theme="1"/>
        <rFont val="Aptos Narrow"/>
        <family val="2"/>
        <scheme val="minor"/>
      </rPr>
      <t>C</t>
    </r>
    <r>
      <rPr>
        <sz val="11"/>
        <color theme="1"/>
        <rFont val="Aptos Narrow"/>
        <family val="2"/>
        <scheme val="minor"/>
      </rPr>
      <t>: Es geht um eine benutzerfreundliche Visualisierung, bei der die Einfachheit im Vordergrund steht.</t>
    </r>
  </si>
  <si>
    <r>
      <t xml:space="preserve">A: </t>
    </r>
    <r>
      <rPr>
        <sz val="11"/>
        <color theme="1"/>
        <rFont val="Aptos Narrow"/>
        <family val="2"/>
        <scheme val="minor"/>
      </rPr>
      <t>Für meine IoT-Plattform sind die höchsten möglichen Sicherheitsstandards entscheidend.</t>
    </r>
  </si>
  <si>
    <t>Was an einem Lizenzmodell ist ihnen wichtig?</t>
  </si>
  <si>
    <r>
      <t xml:space="preserve">C: </t>
    </r>
    <r>
      <rPr>
        <sz val="11"/>
        <color theme="1"/>
        <rFont val="Aptos Narrow"/>
        <family val="2"/>
        <scheme val="minor"/>
      </rPr>
      <t>Obwohl eine Roadmap hilfreich ist, steht für uns im Vordergrund, dass die Plattform flexibel genug ist, um aktuelle Anforderungen zu erfüllen; langfristige Pläne sind dabei ein nützlicher, aber nicht ausschlaggebender Faktor.</t>
    </r>
  </si>
  <si>
    <r>
      <t>B:</t>
    </r>
    <r>
      <rPr>
        <sz val="11"/>
        <color theme="1"/>
        <rFont val="Aptos Narrow"/>
        <family val="2"/>
        <scheme val="minor"/>
      </rPr>
      <t xml:space="preserve"> Eine strukturierte Roadmap ist für uns wichtig, um sicherzugehen, dass die Plattform kontinuierlich verbessert wird und wir langfristig von neuen Funktionen und Technologien profitieren können.</t>
    </r>
  </si>
  <si>
    <t>A: Eine klare Roadmap und langfristige Vision sind für uns von größter Bedeutung, da unsere gesamte Strategie darauf basiert und wir sicherstellen müssen, dass die Plattform auch in Zukunft führend und innovativ bleibt.</t>
  </si>
  <si>
    <r>
      <t xml:space="preserve">A: </t>
    </r>
    <r>
      <rPr>
        <sz val="11"/>
        <color theme="1"/>
        <rFont val="Aptos Narrow"/>
        <family val="2"/>
        <scheme val="minor"/>
      </rPr>
      <t>Eine klare Roadmap und langfristige Vision sind für uns von größter Bedeutung, da unsere gesamte Strategie darauf basiert und wir sicherstellen müssen, dass die Plattform auch in Zukunft führend und innovativ bleibt.</t>
    </r>
  </si>
  <si>
    <r>
      <t>A:</t>
    </r>
    <r>
      <rPr>
        <sz val="11"/>
        <color rgb="FF000000"/>
        <rFont val="Aptos Narrow"/>
        <scheme val="minor"/>
      </rPr>
      <t xml:space="preserve"> - Abos: Flexible Modelle.</t>
    </r>
    <r>
      <rPr>
        <b/>
        <sz val="11"/>
        <color rgb="FF000000"/>
        <rFont val="Aptos Narrow"/>
        <scheme val="minor"/>
      </rPr>
      <t xml:space="preserve"> - </t>
    </r>
    <r>
      <rPr>
        <sz val="11"/>
        <color rgb="FF000000"/>
        <rFont val="Aptos Narrow"/>
        <scheme val="minor"/>
      </rPr>
      <t>Nutzung: Pay-as-you-go.
- Skalierung: Nach Bedarf anpassbar.</t>
    </r>
  </si>
  <si>
    <t>C: Es wird nicht benötigt. Eine Auswahl an gängigen Modellen sollte für die Zukunft vorhanden sein.</t>
  </si>
  <si>
    <t>B: Meine industriellen Anwendungen sollen umfassend abgesichert werden.</t>
  </si>
  <si>
    <t>C: - Gesetze: DSGVO, CCPA
- Zertifizierungen: ISO 27001, ISO 27018, SOC 2
- Sicherheit: Verschlüsselung, MFA, rollenbasierter Zugriff
- Datenlokalität: unterstützt
- Verträge: AVV, Datenschutzklauseln</t>
  </si>
  <si>
    <t>A: - Abos: Flexible Modelle. - Nutzung: Pay-as-you-go.
- Skalierung: Nach Bedarf anpassbar.</t>
  </si>
  <si>
    <t>A: Die Kosten sollten proportional zur Nutzung steigen, mit Rabatten bei größerem Volumen.</t>
  </si>
  <si>
    <t>C: Wichtig für Kombination aus festen und nutzungsbasierten Modellen</t>
  </si>
  <si>
    <t>A: Niedrige Gesamtkosten pro Gerät sind entscheidend für die Skalierbarkeit und Rentabilität großer IoT-Implementierungen. (Hoch)</t>
  </si>
  <si>
    <t>B: Technologische Weiterentwicklung ist kritisch, um neue industrielle Anwendungen zu integrieren und Marktanforderungen gerecht zu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</si>
</sst>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family val="2"/>
      <scheme val="minor"/>
    </font>
    <font>
      <b/>
      <sz val="11"/>
      <color theme="1"/>
      <name val="Aptos Narrow"/>
      <family val="2"/>
      <scheme val="minor"/>
    </font>
    <font>
      <b/>
      <sz val="13.5"/>
      <color theme="1"/>
      <name val="Aptos Narrow"/>
      <family val="2"/>
      <scheme val="minor"/>
    </font>
    <font>
      <b/>
      <sz val="14"/>
      <color rgb="FFFF0000"/>
      <name val="Arial"/>
      <family val="2"/>
    </font>
    <font>
      <b/>
      <sz val="14"/>
      <color theme="1"/>
      <name val="Aptos Narrow"/>
      <family val="2"/>
      <scheme val="minor"/>
    </font>
    <font>
      <sz val="11"/>
      <color theme="1"/>
      <name val="Aptos Narrow"/>
      <scheme val="minor"/>
    </font>
    <font>
      <b/>
      <sz val="11"/>
      <color rgb="FF000000"/>
      <name val="Aptos Narrow"/>
      <scheme val="minor"/>
    </font>
    <font>
      <sz val="11"/>
      <color rgb="FF000000"/>
      <name val="Aptos Narrow"/>
      <scheme val="minor"/>
    </font>
    <font>
      <b/>
      <sz val="11"/>
      <color rgb="FF000000"/>
      <name val="Aptos Narrow"/>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30">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2" fillId="0" borderId="0" xfId="0" applyFont="1" applyAlignment="1">
      <alignment vertical="center"/>
    </xf>
    <xf numFmtId="0" fontId="1" fillId="0" borderId="0" xfId="0" applyFont="1"/>
    <xf numFmtId="0" fontId="3" fillId="0" borderId="0" xfId="0" applyFont="1"/>
    <xf numFmtId="0" fontId="0" fillId="0" borderId="0" xfId="0" applyAlignment="1">
      <alignment horizontal="center" vertical="center" wrapText="1"/>
    </xf>
    <xf numFmtId="0" fontId="0" fillId="0" borderId="0" xfId="0" applyAlignment="1">
      <alignment horizontal="center"/>
    </xf>
    <xf numFmtId="0" fontId="0" fillId="0" borderId="1" xfId="0" applyBorder="1"/>
    <xf numFmtId="0" fontId="0" fillId="0" borderId="1" xfId="0" applyBorder="1" applyAlignment="1">
      <alignment wrapText="1"/>
    </xf>
    <xf numFmtId="0" fontId="1" fillId="0" borderId="1" xfId="0" applyFont="1" applyBorder="1" applyAlignment="1">
      <alignment horizontal="center" vertical="center" wrapText="1"/>
    </xf>
    <xf numFmtId="0" fontId="0" fillId="0" borderId="1" xfId="0" applyBorder="1" applyAlignment="1">
      <alignment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2" fillId="0" borderId="4" xfId="0" applyFont="1" applyBorder="1" applyAlignment="1">
      <alignment vertical="center"/>
    </xf>
    <xf numFmtId="0" fontId="1" fillId="0" borderId="5" xfId="0" applyFont="1" applyBorder="1" applyAlignment="1">
      <alignment vertical="center" wrapText="1"/>
    </xf>
    <xf numFmtId="0" fontId="0" fillId="0" borderId="6" xfId="0" applyBorder="1"/>
    <xf numFmtId="0" fontId="0" fillId="0" borderId="5" xfId="0" applyBorder="1" applyAlignment="1">
      <alignment wrapText="1"/>
    </xf>
    <xf numFmtId="0" fontId="0" fillId="0" borderId="6" xfId="0" applyBorder="1" applyAlignment="1">
      <alignment vertical="center" wrapText="1"/>
    </xf>
    <xf numFmtId="0" fontId="0" fillId="0" borderId="5" xfId="0" applyBorder="1" applyAlignment="1">
      <alignment vertical="center" wrapText="1"/>
    </xf>
    <xf numFmtId="0" fontId="1" fillId="0" borderId="7" xfId="0" applyFont="1" applyBorder="1" applyAlignment="1">
      <alignment vertical="center" wrapText="1"/>
    </xf>
    <xf numFmtId="0" fontId="0" fillId="0" borderId="8" xfId="0" applyBorder="1"/>
    <xf numFmtId="0" fontId="0" fillId="0" borderId="9" xfId="0" applyBorder="1" applyAlignment="1">
      <alignment vertical="center" wrapText="1"/>
    </xf>
    <xf numFmtId="0" fontId="0" fillId="0" borderId="5" xfId="0" applyBorder="1"/>
    <xf numFmtId="0" fontId="1" fillId="0" borderId="5" xfId="0" applyFont="1" applyBorder="1" applyAlignment="1">
      <alignment horizontal="center" vertical="center" wrapText="1"/>
    </xf>
    <xf numFmtId="0" fontId="5" fillId="0" borderId="5" xfId="0" applyFont="1" applyBorder="1" applyAlignment="1">
      <alignment vertical="center" wrapText="1"/>
    </xf>
    <xf numFmtId="0" fontId="8" fillId="0" borderId="5" xfId="0" applyFont="1" applyBorder="1" applyAlignment="1">
      <alignment vertical="center" wrapText="1"/>
    </xf>
    <xf numFmtId="0" fontId="0" fillId="0" borderId="5" xfId="0" applyBorder="1" applyAlignment="1">
      <alignment vertical="top" wrapText="1"/>
    </xf>
    <xf numFmtId="0" fontId="4" fillId="0" borderId="0" xfId="0" applyFont="1" applyAlignment="1">
      <alignment horizontal="center"/>
    </xf>
  </cellXfs>
  <cellStyles count="1">
    <cellStyle name="Standard" xfId="0" builtinId="0"/>
  </cellStyles>
  <dxfs count="13">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0" formatCode="General"/>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Punktzahl nach Kategorien</a:t>
            </a:r>
          </a:p>
        </c:rich>
      </c:tx>
      <c:overlay val="0"/>
    </c:title>
    <c:autoTitleDeleted val="0"/>
    <c:plotArea>
      <c:layout/>
      <c:barChart>
        <c:barDir val="col"/>
        <c:grouping val="clustered"/>
        <c:varyColors val="0"/>
        <c:ser>
          <c:idx val="0"/>
          <c:order val="0"/>
          <c:tx>
            <c:strRef>
              <c:f>Auswertung!$B$1</c:f>
              <c:strCache>
                <c:ptCount val="1"/>
                <c:pt idx="0">
                  <c:v>Siemens MindSphere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Auswertung!$A$2:$A$6</c:f>
              <c:strCache>
                <c:ptCount val="5"/>
                <c:pt idx="0">
                  <c:v>Technische Architektur</c:v>
                </c:pt>
                <c:pt idx="1">
                  <c:v>Funktionalitäten und Anwendungsfälle</c:v>
                </c:pt>
                <c:pt idx="2">
                  <c:v>Datenmanagement und Sicherheit</c:v>
                </c:pt>
                <c:pt idx="3">
                  <c:v>Kostenstruktur und Lizenzmodell</c:v>
                </c:pt>
                <c:pt idx="4">
                  <c:v>Innovationspotenzial und Zukunftsfähigkeit</c:v>
                </c:pt>
              </c:strCache>
            </c:strRef>
          </c:cat>
          <c:val>
            <c:numRef>
              <c:f>Auswertung!$B$2:$B$6</c:f>
              <c:numCache>
                <c:formatCode>General</c:formatCode>
                <c:ptCount val="5"/>
                <c:pt idx="0">
                  <c:v>3</c:v>
                </c:pt>
                <c:pt idx="1">
                  <c:v>5</c:v>
                </c:pt>
                <c:pt idx="2">
                  <c:v>3</c:v>
                </c:pt>
                <c:pt idx="3">
                  <c:v>0</c:v>
                </c:pt>
                <c:pt idx="4">
                  <c:v>2</c:v>
                </c:pt>
              </c:numCache>
            </c:numRef>
          </c:val>
          <c:extLst>
            <c:ext xmlns:c16="http://schemas.microsoft.com/office/drawing/2014/chart" uri="{C3380CC4-5D6E-409C-BE32-E72D297353CC}">
              <c16:uniqueId val="{00000000-8E9D-1048-A7EC-445004778977}"/>
            </c:ext>
          </c:extLst>
        </c:ser>
        <c:ser>
          <c:idx val="1"/>
          <c:order val="1"/>
          <c:tx>
            <c:strRef>
              <c:f>Auswertung!$C$1</c:f>
              <c:strCache>
                <c:ptCount val="1"/>
                <c:pt idx="0">
                  <c:v>PTC ThingWorx</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Auswertung!$A$2:$A$6</c:f>
              <c:strCache>
                <c:ptCount val="5"/>
                <c:pt idx="0">
                  <c:v>Technische Architektur</c:v>
                </c:pt>
                <c:pt idx="1">
                  <c:v>Funktionalitäten und Anwendungsfälle</c:v>
                </c:pt>
                <c:pt idx="2">
                  <c:v>Datenmanagement und Sicherheit</c:v>
                </c:pt>
                <c:pt idx="3">
                  <c:v>Kostenstruktur und Lizenzmodell</c:v>
                </c:pt>
                <c:pt idx="4">
                  <c:v>Innovationspotenzial und Zukunftsfähigkeit</c:v>
                </c:pt>
              </c:strCache>
            </c:strRef>
          </c:cat>
          <c:val>
            <c:numRef>
              <c:f>Auswertung!$C$2:$C$6</c:f>
              <c:numCache>
                <c:formatCode>General</c:formatCode>
                <c:ptCount val="5"/>
                <c:pt idx="0">
                  <c:v>3</c:v>
                </c:pt>
                <c:pt idx="1">
                  <c:v>4</c:v>
                </c:pt>
                <c:pt idx="2">
                  <c:v>4</c:v>
                </c:pt>
                <c:pt idx="3">
                  <c:v>3</c:v>
                </c:pt>
                <c:pt idx="4">
                  <c:v>8</c:v>
                </c:pt>
              </c:numCache>
            </c:numRef>
          </c:val>
          <c:extLst>
            <c:ext xmlns:c16="http://schemas.microsoft.com/office/drawing/2014/chart" uri="{C3380CC4-5D6E-409C-BE32-E72D297353CC}">
              <c16:uniqueId val="{00000001-8E9D-1048-A7EC-445004778977}"/>
            </c:ext>
          </c:extLst>
        </c:ser>
        <c:ser>
          <c:idx val="2"/>
          <c:order val="2"/>
          <c:tx>
            <c:strRef>
              <c:f>Auswertung!$D$1</c:f>
              <c:strCache>
                <c:ptCount val="1"/>
                <c:pt idx="0">
                  <c:v>Microsoft Azure IoT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Auswertung!$A$2:$A$6</c:f>
              <c:strCache>
                <c:ptCount val="5"/>
                <c:pt idx="0">
                  <c:v>Technische Architektur</c:v>
                </c:pt>
                <c:pt idx="1">
                  <c:v>Funktionalitäten und Anwendungsfälle</c:v>
                </c:pt>
                <c:pt idx="2">
                  <c:v>Datenmanagement und Sicherheit</c:v>
                </c:pt>
                <c:pt idx="3">
                  <c:v>Kostenstruktur und Lizenzmodell</c:v>
                </c:pt>
                <c:pt idx="4">
                  <c:v>Innovationspotenzial und Zukunftsfähigkeit</c:v>
                </c:pt>
              </c:strCache>
            </c:strRef>
          </c:cat>
          <c:val>
            <c:numRef>
              <c:f>Auswertung!$D$2:$D$6</c:f>
              <c:numCache>
                <c:formatCode>General</c:formatCode>
                <c:ptCount val="5"/>
                <c:pt idx="0">
                  <c:v>8</c:v>
                </c:pt>
                <c:pt idx="1">
                  <c:v>7</c:v>
                </c:pt>
                <c:pt idx="2">
                  <c:v>7</c:v>
                </c:pt>
                <c:pt idx="3">
                  <c:v>10</c:v>
                </c:pt>
                <c:pt idx="4">
                  <c:v>5</c:v>
                </c:pt>
              </c:numCache>
            </c:numRef>
          </c:val>
          <c:extLst>
            <c:ext xmlns:c16="http://schemas.microsoft.com/office/drawing/2014/chart" uri="{C3380CC4-5D6E-409C-BE32-E72D297353CC}">
              <c16:uniqueId val="{00000002-8E9D-1048-A7EC-445004778977}"/>
            </c:ext>
          </c:extLst>
        </c:ser>
        <c:dLbls>
          <c:showLegendKey val="0"/>
          <c:showVal val="0"/>
          <c:showCatName val="0"/>
          <c:showSerName val="0"/>
          <c:showPercent val="0"/>
          <c:showBubbleSize val="0"/>
        </c:dLbls>
        <c:gapWidth val="150"/>
        <c:axId val="518833967"/>
        <c:axId val="462570431"/>
      </c:barChart>
      <c:catAx>
        <c:axId val="518833967"/>
        <c:scaling>
          <c:orientation val="minMax"/>
        </c:scaling>
        <c:delete val="0"/>
        <c:axPos val="b"/>
        <c:title>
          <c:tx>
            <c:rich>
              <a:bodyPr/>
              <a:lstStyle/>
              <a:p>
                <a:pPr>
                  <a:defRPr/>
                </a:pPr>
                <a:r>
                  <a:rPr lang="de-DE"/>
                  <a:t>Kategorien</a:t>
                </a:r>
              </a:p>
            </c:rich>
          </c:tx>
          <c:overlay val="0"/>
        </c:title>
        <c:numFmt formatCode="General" sourceLinked="1"/>
        <c:majorTickMark val="out"/>
        <c:minorTickMark val="none"/>
        <c:tickLblPos val="nextTo"/>
        <c:crossAx val="462570431"/>
        <c:crosses val="autoZero"/>
        <c:auto val="1"/>
        <c:lblAlgn val="ctr"/>
        <c:lblOffset val="100"/>
        <c:noMultiLvlLbl val="0"/>
      </c:catAx>
      <c:valAx>
        <c:axId val="462570431"/>
        <c:scaling>
          <c:orientation val="minMax"/>
        </c:scaling>
        <c:delete val="0"/>
        <c:axPos val="l"/>
        <c:majorGridlines/>
        <c:title>
          <c:tx>
            <c:rich>
              <a:bodyPr/>
              <a:lstStyle/>
              <a:p>
                <a:pPr>
                  <a:defRPr/>
                </a:pPr>
                <a:r>
                  <a:rPr lang="de-DE"/>
                  <a:t>Punktzahl</a:t>
                </a:r>
              </a:p>
            </c:rich>
          </c:tx>
          <c:overlay val="0"/>
        </c:title>
        <c:numFmt formatCode="General" sourceLinked="1"/>
        <c:majorTickMark val="out"/>
        <c:minorTickMark val="none"/>
        <c:tickLblPos val="nextTo"/>
        <c:crossAx val="51883396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Gesamtpunktzahl nach Werkzeug</a:t>
            </a:r>
          </a:p>
        </c:rich>
      </c:tx>
      <c:overlay val="0"/>
    </c:title>
    <c:autoTitleDeleted val="0"/>
    <c:plotArea>
      <c:layout/>
      <c:pieChart>
        <c:varyColors val="1"/>
        <c:ser>
          <c:idx val="0"/>
          <c:order val="0"/>
          <c:tx>
            <c:strRef>
              <c:f>Auswertung!$B$10</c:f>
              <c:strCache>
                <c:ptCount val="1"/>
                <c:pt idx="0">
                  <c:v>Gesamtpunktzahl</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cat>
            <c:strRef>
              <c:f>Auswertung!$A$11:$A$13</c:f>
              <c:strCache>
                <c:ptCount val="3"/>
                <c:pt idx="0">
                  <c:v>Siemens MindSphere</c:v>
                </c:pt>
                <c:pt idx="1">
                  <c:v>PTC ThingWorx</c:v>
                </c:pt>
                <c:pt idx="2">
                  <c:v>Microsoft Azure IoT</c:v>
                </c:pt>
              </c:strCache>
            </c:strRef>
          </c:cat>
          <c:val>
            <c:numRef>
              <c:f>Auswertung!$B$11:$B$13</c:f>
              <c:numCache>
                <c:formatCode>General</c:formatCode>
                <c:ptCount val="3"/>
                <c:pt idx="0">
                  <c:v>13</c:v>
                </c:pt>
                <c:pt idx="1">
                  <c:v>22</c:v>
                </c:pt>
                <c:pt idx="2">
                  <c:v>37</c:v>
                </c:pt>
              </c:numCache>
            </c:numRef>
          </c:val>
          <c:extLst>
            <c:ext xmlns:c16="http://schemas.microsoft.com/office/drawing/2014/chart" uri="{C3380CC4-5D6E-409C-BE32-E72D297353CC}">
              <c16:uniqueId val="{00000000-EAA1-C847-B3D1-9EF891E52FE7}"/>
            </c:ext>
          </c:extLst>
        </c:ser>
        <c:dLbls>
          <c:showLegendKey val="0"/>
          <c:showVal val="0"/>
          <c:showCatName val="0"/>
          <c:showSerName val="0"/>
          <c:showPercent val="0"/>
          <c:showBubbleSize val="0"/>
          <c:showLeaderLines val="0"/>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0</xdr:colOff>
      <xdr:row>0</xdr:row>
      <xdr:rowOff>0</xdr:rowOff>
    </xdr:from>
    <xdr:to>
      <xdr:col>11</xdr:col>
      <xdr:colOff>571500</xdr:colOff>
      <xdr:row>19</xdr:row>
      <xdr:rowOff>152400</xdr:rowOff>
    </xdr:to>
    <xdr:graphicFrame macro="">
      <xdr:nvGraphicFramePr>
        <xdr:cNvPr id="4" name="Diagramm 3">
          <a:extLst>
            <a:ext uri="{FF2B5EF4-FFF2-40B4-BE49-F238E27FC236}">
              <a16:creationId xmlns:a16="http://schemas.microsoft.com/office/drawing/2014/main" id="{F5A2E7A0-DA9F-DA1B-9837-10E403C317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20</xdr:row>
      <xdr:rowOff>165100</xdr:rowOff>
    </xdr:from>
    <xdr:to>
      <xdr:col>11</xdr:col>
      <xdr:colOff>571500</xdr:colOff>
      <xdr:row>40</xdr:row>
      <xdr:rowOff>165100</xdr:rowOff>
    </xdr:to>
    <xdr:graphicFrame macro="">
      <xdr:nvGraphicFramePr>
        <xdr:cNvPr id="5" name="Diagramm 4">
          <a:extLst>
            <a:ext uri="{FF2B5EF4-FFF2-40B4-BE49-F238E27FC236}">
              <a16:creationId xmlns:a16="http://schemas.microsoft.com/office/drawing/2014/main" id="{54678EFE-1BAB-78B0-B409-C915102304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27215</xdr:colOff>
      <xdr:row>27</xdr:row>
      <xdr:rowOff>55335</xdr:rowOff>
    </xdr:from>
    <xdr:to>
      <xdr:col>1</xdr:col>
      <xdr:colOff>2094140</xdr:colOff>
      <xdr:row>29</xdr:row>
      <xdr:rowOff>11786</xdr:rowOff>
    </xdr:to>
    <xdr:sp macro="[0]!AuswertungErstellen" textlink="">
      <xdr:nvSpPr>
        <xdr:cNvPr id="2" name="Rechteck 1">
          <a:extLst>
            <a:ext uri="{FF2B5EF4-FFF2-40B4-BE49-F238E27FC236}">
              <a16:creationId xmlns:a16="http://schemas.microsoft.com/office/drawing/2014/main" id="{47EA41FC-FB31-C414-B480-3DF1FE63EA27}"/>
            </a:ext>
          </a:extLst>
        </xdr:cNvPr>
        <xdr:cNvSpPr/>
      </xdr:nvSpPr>
      <xdr:spPr>
        <a:xfrm>
          <a:off x="27215" y="16819335"/>
          <a:ext cx="3498396" cy="337451"/>
        </a:xfrm>
        <a:prstGeom prst="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de-DE" sz="1100" b="1">
              <a:solidFill>
                <a:schemeClr val="tx1">
                  <a:lumMod val="95000"/>
                  <a:lumOff val="5000"/>
                </a:schemeClr>
              </a:solidFill>
            </a:rPr>
            <a:t>Auswerten</a:t>
          </a:r>
        </a:p>
      </xdr:txBody>
    </xdr:sp>
    <xdr:clientData/>
  </xdr:twoCellAnchor>
  <xdr:twoCellAnchor>
    <xdr:from>
      <xdr:col>3</xdr:col>
      <xdr:colOff>10885</xdr:colOff>
      <xdr:row>27</xdr:row>
      <xdr:rowOff>16327</xdr:rowOff>
    </xdr:from>
    <xdr:to>
      <xdr:col>4</xdr:col>
      <xdr:colOff>2241097</xdr:colOff>
      <xdr:row>28</xdr:row>
      <xdr:rowOff>178253</xdr:rowOff>
    </xdr:to>
    <xdr:sp macro="[0]!DiagrammeUndZellenLöschen" textlink="">
      <xdr:nvSpPr>
        <xdr:cNvPr id="3" name="Rechteck 2">
          <a:extLst>
            <a:ext uri="{FF2B5EF4-FFF2-40B4-BE49-F238E27FC236}">
              <a16:creationId xmlns:a16="http://schemas.microsoft.com/office/drawing/2014/main" id="{46DD70F2-290A-451F-ABA3-CA5F3494E9D2}"/>
            </a:ext>
          </a:extLst>
        </xdr:cNvPr>
        <xdr:cNvSpPr/>
      </xdr:nvSpPr>
      <xdr:spPr>
        <a:xfrm>
          <a:off x="4310742" y="16780327"/>
          <a:ext cx="4527098" cy="352426"/>
        </a:xfrm>
        <a:prstGeom prst="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de-DE" sz="1100" b="1">
              <a:solidFill>
                <a:schemeClr val="tx1">
                  <a:lumMod val="95000"/>
                  <a:lumOff val="5000"/>
                </a:schemeClr>
              </a:solidFill>
            </a:rPr>
            <a:t>Auswertung löschen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6F1878-22E3-4C3A-944C-B62A94779207}" name="AuswertungKategorien" displayName="AuswertungKategorien" ref="A1:D6" totalsRowShown="0" headerRowDxfId="12">
  <autoFilter ref="A1:D6" xr:uid="{B26F1878-22E3-4C3A-944C-B62A94779207}">
    <filterColumn colId="0" hiddenButton="1"/>
    <filterColumn colId="1" hiddenButton="1"/>
    <filterColumn colId="2" hiddenButton="1"/>
    <filterColumn colId="3" hiddenButton="1"/>
  </autoFilter>
  <tableColumns count="4">
    <tableColumn id="1" xr3:uid="{9318022C-6890-4D82-8316-727C585B8413}" name="Punktzahl nach Kategorien"/>
    <tableColumn id="2" xr3:uid="{92F1FEF9-E119-44CF-9857-4DA2555A38A5}" name="Siemens MindSphere"/>
    <tableColumn id="3" xr3:uid="{3AAB6E83-C6E0-420A-BE9B-5A84CAF490DC}" name="PTC ThingWorx"/>
    <tableColumn id="4" xr3:uid="{28840C61-160D-40BA-989A-C4FE4026CBEC}" name="Microsoft Azure IoT"/>
  </tableColumns>
  <tableStyleInfo name="TableStyleMedium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5FCF21-D721-443F-87D8-3B88D07A0358}" name="Auswertung" displayName="Auswertung" ref="A10:B13" totalsRowShown="0">
  <autoFilter ref="A10:B13" xr:uid="{ED5FCF21-D721-443F-87D8-3B88D07A0358}"/>
  <tableColumns count="2">
    <tableColumn id="1" xr3:uid="{CFBA8268-DDC6-4B07-A16B-3443D5861415}" name="Werkzeug"/>
    <tableColumn id="2" xr3:uid="{D2FBD4AA-F3AD-4338-A2CF-B2DF3F57CA3F}" name="Gesamtpunktzahl" dataDxfId="11">
      <calculatedColumnFormula>SUM(B2:B6)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62096DD-83CE-4130-AD59-C8BBE5B08C5E}" name="Fragenkatalog" displayName="Fragenkatalog" ref="A1:E26" totalsRowShown="0" headerRowDxfId="10" dataDxfId="9">
  <autoFilter ref="A1:E26" xr:uid="{062096DD-83CE-4130-AD59-C8BBE5B08C5E}"/>
  <tableColumns count="5">
    <tableColumn id="1" xr3:uid="{0DCE10AC-B419-4244-900E-675A5394D690}" name="Kategorie" dataDxfId="8" totalsRowDxfId="7"/>
    <tableColumn id="2" xr3:uid="{2CF1955F-B1A6-4AC5-A5E6-DAA633A09F75}" name="Frage" dataDxfId="6" totalsRowDxfId="5"/>
    <tableColumn id="3" xr3:uid="{0369126A-45CA-4784-8A06-825C7084E2F2}" name="Gewichtung" dataDxfId="4"/>
    <tableColumn id="4" xr3:uid="{79093EAE-5C93-4610-8201-F11514B3C44E}" name="Begründung" dataDxfId="3" totalsRowDxfId="2"/>
    <tableColumn id="5" xr3:uid="{886189AD-ED68-4EB8-BD7D-7D6C624D71D6}" name="Antwortmöglichkeite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DD9CA-3289-4C60-9986-A260E1FC327D}">
  <sheetPr codeName="Tabelle3">
    <pageSetUpPr fitToPage="1"/>
  </sheetPr>
  <dimension ref="A1:D20"/>
  <sheetViews>
    <sheetView view="pageLayout" zoomScale="85" zoomScaleNormal="85" zoomScalePageLayoutView="85" workbookViewId="0">
      <selection activeCell="C17" sqref="C17"/>
    </sheetView>
  </sheetViews>
  <sheetFormatPr baseColWidth="10" defaultRowHeight="14.5" x14ac:dyDescent="0.35"/>
  <cols>
    <col min="1" max="1" width="40.453125" bestFit="1" customWidth="1"/>
    <col min="2" max="2" width="20.36328125" bestFit="1" customWidth="1"/>
    <col min="3" max="3" width="26.1796875" customWidth="1"/>
    <col min="4" max="4" width="18.36328125" bestFit="1" customWidth="1"/>
  </cols>
  <sheetData>
    <row r="1" spans="1:4" x14ac:dyDescent="0.35">
      <c r="A1" s="5" t="s">
        <v>6</v>
      </c>
      <c r="B1" s="5" t="s">
        <v>11</v>
      </c>
      <c r="C1" s="5" t="s">
        <v>10</v>
      </c>
      <c r="D1" s="5" t="s">
        <v>9</v>
      </c>
    </row>
    <row r="2" spans="1:4" x14ac:dyDescent="0.35">
      <c r="A2" t="s">
        <v>12</v>
      </c>
      <c r="B2">
        <v>3</v>
      </c>
      <c r="C2">
        <v>3</v>
      </c>
      <c r="D2">
        <v>8</v>
      </c>
    </row>
    <row r="3" spans="1:4" x14ac:dyDescent="0.35">
      <c r="A3" t="s">
        <v>19</v>
      </c>
      <c r="B3">
        <v>5</v>
      </c>
      <c r="C3">
        <v>4</v>
      </c>
      <c r="D3">
        <v>7</v>
      </c>
    </row>
    <row r="4" spans="1:4" x14ac:dyDescent="0.35">
      <c r="A4" t="s">
        <v>25</v>
      </c>
      <c r="B4">
        <v>3</v>
      </c>
      <c r="C4">
        <v>4</v>
      </c>
      <c r="D4">
        <v>7</v>
      </c>
    </row>
    <row r="5" spans="1:4" x14ac:dyDescent="0.35">
      <c r="A5" t="s">
        <v>32</v>
      </c>
      <c r="B5">
        <v>0</v>
      </c>
      <c r="C5">
        <v>3</v>
      </c>
      <c r="D5">
        <v>10</v>
      </c>
    </row>
    <row r="6" spans="1:4" x14ac:dyDescent="0.35">
      <c r="A6" t="s">
        <v>37</v>
      </c>
      <c r="B6">
        <v>2</v>
      </c>
      <c r="C6">
        <v>8</v>
      </c>
      <c r="D6">
        <v>5</v>
      </c>
    </row>
    <row r="10" spans="1:4" x14ac:dyDescent="0.35">
      <c r="A10" s="5" t="s">
        <v>8</v>
      </c>
      <c r="B10" t="s">
        <v>7</v>
      </c>
    </row>
    <row r="11" spans="1:4" x14ac:dyDescent="0.35">
      <c r="A11" t="s">
        <v>11</v>
      </c>
      <c r="B11">
        <f>SUM(AuswertungKategorien[Siemens MindSphere])</f>
        <v>13</v>
      </c>
    </row>
    <row r="12" spans="1:4" x14ac:dyDescent="0.35">
      <c r="A12" t="s">
        <v>10</v>
      </c>
      <c r="B12">
        <f>SUM(AuswertungKategorien[PTC ThingWorx])</f>
        <v>22</v>
      </c>
    </row>
    <row r="13" spans="1:4" x14ac:dyDescent="0.35">
      <c r="A13" t="s">
        <v>9</v>
      </c>
      <c r="B13">
        <f>SUM(AuswertungKategorien[Microsoft Azure IoT])</f>
        <v>37</v>
      </c>
    </row>
    <row r="19" spans="1:3" ht="18" x14ac:dyDescent="0.4">
      <c r="C19" s="6"/>
    </row>
    <row r="20" spans="1:3" ht="18.5" x14ac:dyDescent="0.45">
      <c r="A20" s="29" t="s">
        <v>90</v>
      </c>
      <c r="B20" s="29"/>
      <c r="C20" s="6" t="s">
        <v>9</v>
      </c>
    </row>
  </sheetData>
  <mergeCells count="1">
    <mergeCell ref="A20:B20"/>
  </mergeCells>
  <pageMargins left="0.7" right="0.7" top="0.78740157499999996" bottom="0.78740157499999996" header="0.3" footer="0.3"/>
  <pageSetup paperSize="9" scale="45" orientation="portrait" r:id="rId1"/>
  <headerFooter>
    <oddHeader>&amp;LPhilip Dreßel&amp;CFragenkatalog zur Ermittlung des optimalen Werkzeuges&amp;RSystem Vertrieb Alexander GmbH</oddHeader>
    <oddFooter>&amp;LWissenschaftliches Seminar&amp;RProf. Dr. Andreas Müller</oddFooter>
  </headerFooter>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C70E6-B258-4431-B66C-EE75715F8E77}">
  <sheetPr codeName="Tabelle2">
    <pageSetUpPr fitToPage="1"/>
  </sheetPr>
  <dimension ref="A1:E26"/>
  <sheetViews>
    <sheetView tabSelected="1" zoomScale="107" zoomScaleNormal="160" workbookViewId="0">
      <selection activeCell="B2" sqref="B2"/>
    </sheetView>
  </sheetViews>
  <sheetFormatPr baseColWidth="10" defaultRowHeight="14.5" x14ac:dyDescent="0.35"/>
  <cols>
    <col min="1" max="1" width="15.36328125" customWidth="1"/>
    <col min="2" max="2" width="32.6328125" customWidth="1"/>
    <col min="3" max="3" width="11.453125" style="8" customWidth="1"/>
    <col min="4" max="4" width="39.1796875" customWidth="1"/>
    <col min="5" max="5" width="33.81640625" hidden="1" customWidth="1"/>
  </cols>
  <sheetData>
    <row r="1" spans="1:5" x14ac:dyDescent="0.35">
      <c r="A1" s="1" t="s">
        <v>3</v>
      </c>
      <c r="B1" s="1" t="s">
        <v>0</v>
      </c>
      <c r="C1" s="1" t="s">
        <v>1</v>
      </c>
      <c r="D1" s="1" t="s">
        <v>4</v>
      </c>
      <c r="E1" s="1" t="s">
        <v>2</v>
      </c>
    </row>
    <row r="2" spans="1:5" ht="58" x14ac:dyDescent="0.35">
      <c r="A2" s="3" t="s">
        <v>12</v>
      </c>
      <c r="B2" s="2" t="str">
        <f>'Hilfstabelle Antworten'!A2</f>
        <v>Wie sollte die Skalierbarkeit Ihrer IoT-Plattform gestaltet sein, um zukünftigen Anforderungen gerecht zu werden?</v>
      </c>
      <c r="C2" s="7">
        <v>3</v>
      </c>
      <c r="D2" s="2" t="str">
        <f>'Hilfstabelle Antworten'!B2</f>
        <v>Skalierbarkeit ist entscheidend, wenn Ihre IoT-Lösung im Laufe der Zeit wächst. Eine flexible Plattform hält mit steigenden Anforderungen Schritt.</v>
      </c>
      <c r="E2" s="2" t="s">
        <v>72</v>
      </c>
    </row>
    <row r="3" spans="1:5" ht="43.5" x14ac:dyDescent="0.35">
      <c r="A3" s="3" t="s">
        <v>12</v>
      </c>
      <c r="B3" s="2" t="str">
        <f>'Hilfstabelle Antworten'!A8</f>
        <v>Welche Art der Cloud-Integration ist für Ihre Anwendung erforderlich?</v>
      </c>
      <c r="C3" s="7">
        <v>4</v>
      </c>
      <c r="D3" s="2" t="str">
        <f>'Hilfstabelle Antworten'!B8</f>
        <v>Nahtlose Cloud-Integration ermöglicht effizientes Speichern, Verarbeiten und Analysieren von Daten.</v>
      </c>
      <c r="E3" s="2" t="s">
        <v>76</v>
      </c>
    </row>
    <row r="4" spans="1:5" ht="43.5" x14ac:dyDescent="0.35">
      <c r="A4" s="3" t="s">
        <v>12</v>
      </c>
      <c r="B4" s="2" t="str">
        <f>'Hilfstabelle Antworten'!A14</f>
        <v>Wie sollten Edge- und Hybrid-Computing in Ihrer Architektur unterstützt werden?</v>
      </c>
      <c r="C4" s="7">
        <v>3</v>
      </c>
      <c r="D4" s="2" t="str">
        <f>'Hilfstabelle Antworten'!B14</f>
        <v>Edge-Computing reduziert Latenz und erhöht Effizienz, Hybrid-Computing unterstützt sowohl Cloud- als auch Vor-Ort-Betrieb.</v>
      </c>
      <c r="E4" s="2" t="s">
        <v>82</v>
      </c>
    </row>
    <row r="5" spans="1:5" ht="58" x14ac:dyDescent="0.35">
      <c r="A5" s="3" t="s">
        <v>12</v>
      </c>
      <c r="B5" s="2" t="str">
        <f>'Hilfstabelle Antworten'!A20</f>
        <v>Welche Echtzeit- und Batch-Verarbeitungsfähigkeiten benötigen Ihre Anwendungen?</v>
      </c>
      <c r="C5" s="7">
        <v>4</v>
      </c>
      <c r="D5" s="2" t="str">
        <f>'Hilfstabelle Antworten'!B20</f>
        <v>Echtzeit-Verarbeitung ist für sofortige Reaktionen entscheidend, während Batch-Verarbeitung große Datenmengen effizient verarbeitet.</v>
      </c>
      <c r="E5" s="2" t="s">
        <v>146</v>
      </c>
    </row>
    <row r="6" spans="1:5" ht="87" x14ac:dyDescent="0.35">
      <c r="A6" s="3" t="s">
        <v>19</v>
      </c>
      <c r="B6" s="2" t="str">
        <f>'Hilfstabelle Antworten'!A26</f>
        <v>Welche Protokollunterstützung benötigen Sie?</v>
      </c>
      <c r="C6" s="7">
        <v>3</v>
      </c>
      <c r="D6" s="2" t="str">
        <f>'Hilfstabelle Antworten'!B26</f>
        <v>Breite Protokollunterstützung gewährleistet Kompatibilität mit verschiedenen Geräten und Netzwerken.</v>
      </c>
      <c r="E6" s="2" t="s">
        <v>87</v>
      </c>
    </row>
    <row r="7" spans="1:5" ht="43.5" x14ac:dyDescent="0.35">
      <c r="A7" s="3" t="s">
        <v>19</v>
      </c>
      <c r="B7" s="2" t="str">
        <f>'Hilfstabelle Antworten'!A33</f>
        <v>Wie umfassend soll die Geräteverwaltung auf der  IoT-Plattform sein?</v>
      </c>
      <c r="C7" s="7">
        <v>2</v>
      </c>
      <c r="D7" s="2" t="str">
        <f>'Hilfstabelle Antworten'!B33</f>
        <v>Effektive Geräteverwaltung reduziert Betriebskosten und erhöht Zuverlässigkeit.</v>
      </c>
      <c r="E7" s="2" t="s">
        <v>68</v>
      </c>
    </row>
    <row r="8" spans="1:5" ht="43.5" x14ac:dyDescent="0.35">
      <c r="A8" s="3" t="s">
        <v>19</v>
      </c>
      <c r="B8" s="2" t="str">
        <f>'Hilfstabelle Antworten'!A39</f>
        <v>In welchen Umfang  sollen die IoT-Daten visualiert werden?</v>
      </c>
      <c r="C8" s="7">
        <v>4</v>
      </c>
      <c r="D8" s="2" t="str">
        <f>'Hilfstabelle Antworten'!B39</f>
        <v>Klar visualisierte Daten erleichtern Einblicke und Entscheidungen.</v>
      </c>
      <c r="E8" s="2" t="s">
        <v>116</v>
      </c>
    </row>
    <row r="9" spans="1:5" ht="58" x14ac:dyDescent="0.35">
      <c r="A9" s="3" t="s">
        <v>19</v>
      </c>
      <c r="B9" s="2" t="str">
        <f>'Hilfstabelle Antworten'!A45</f>
        <v>In welchem Umfang werden fortgeschrittene Analytics- und KI/ML-Funktionen benötigt?</v>
      </c>
      <c r="C9" s="7">
        <v>2</v>
      </c>
      <c r="D9" s="2" t="str">
        <f>'Hilfstabelle Antworten'!B45</f>
        <v>Fortgeschrittene Analytics- und KI/ML-Funktionen helfen, datengetriebene Entscheidungen zu treffen und Prozesse zu optimieren.</v>
      </c>
      <c r="E9" s="2" t="s">
        <v>88</v>
      </c>
    </row>
    <row r="10" spans="1:5" ht="43.5" x14ac:dyDescent="0.35">
      <c r="A10" s="3" t="s">
        <v>19</v>
      </c>
      <c r="B10" s="2" t="str">
        <f>'Hilfstabelle Antworten'!A51</f>
        <v>Wird eine große Bibliothek vordefinierter Modelle und Algorithmen benötigt?</v>
      </c>
      <c r="C10" s="7">
        <v>4</v>
      </c>
      <c r="D10" s="2" t="str">
        <f>'Hilfstabelle Antworten'!B51</f>
        <v>Eine umfassende Bibliothek spart Zeit und Ressourcen, da bewährte Lösungen schnell implementiert werden können.</v>
      </c>
      <c r="E10" s="2" t="s">
        <v>156</v>
      </c>
    </row>
    <row r="11" spans="1:5" ht="43.5" x14ac:dyDescent="0.35">
      <c r="A11" s="3" t="s">
        <v>19</v>
      </c>
      <c r="B11" s="2" t="str">
        <f>'Hilfstabelle Antworten'!A57</f>
        <v>Soll das Tool in bestehende Systeme integriert werden?</v>
      </c>
      <c r="C11" s="7">
        <v>1</v>
      </c>
      <c r="D11" s="2" t="str">
        <f>'Hilfstabelle Antworten'!B57</f>
        <v>Nahtlose Integration in bestehende Systeme maximiert die Betriebseffizienz und vermeidet Silos.</v>
      </c>
      <c r="E11" s="2" t="s">
        <v>65</v>
      </c>
    </row>
    <row r="12" spans="1:5" ht="43.5" x14ac:dyDescent="0.35">
      <c r="A12" s="3" t="s">
        <v>25</v>
      </c>
      <c r="B12" s="2" t="str">
        <f>'Hilfstabelle Antworten'!A64</f>
        <v>In welchem Umfang müssen Daten aufgenomen und verarbeitet werden?</v>
      </c>
      <c r="C12" s="7">
        <v>2</v>
      </c>
      <c r="D12" s="2" t="str">
        <f>'Hilfstabelle Antworten'!B64</f>
        <v>Effiziente Datenaufnahme und -verarbeitung gewährleistet wertvolle Echtzeit-Einblicke und Systemleistung.</v>
      </c>
      <c r="E12" s="2" t="s">
        <v>69</v>
      </c>
    </row>
    <row r="13" spans="1:5" ht="43.5" x14ac:dyDescent="0.35">
      <c r="A13" s="3" t="s">
        <v>25</v>
      </c>
      <c r="B13" s="2" t="str">
        <f>'Hilfstabelle Antworten'!A70</f>
        <v>Wie wichtig sind Sicherheitsfunktionen für Ihre IoT-Plattform?</v>
      </c>
      <c r="C13" s="7">
        <v>3</v>
      </c>
      <c r="D13" s="2" t="str">
        <f>'Hilfstabelle Antworten'!B70</f>
        <v>Sicherheit schützt die Integrität und Vertraulichkeit von Daten, was entscheidend für das Vertrauen in die IoT-Lösung ist.</v>
      </c>
      <c r="E13" s="2" t="s">
        <v>157</v>
      </c>
    </row>
    <row r="14" spans="1:5" ht="43.5" x14ac:dyDescent="0.35">
      <c r="A14" s="3" t="s">
        <v>25</v>
      </c>
      <c r="B14" s="2" t="str">
        <f>'Hilfstabelle Antworten'!A76</f>
        <v>Wie sollen die Daten visualisiert und berichtet werden?</v>
      </c>
      <c r="C14" s="7">
        <v>3</v>
      </c>
      <c r="D14" s="2" t="str">
        <f>'Hilfstabelle Antworten'!B76</f>
        <v>Effiziente Visualisierungs- und Reporting-Tools erleichtern die Datenanalyse und fördern eine schnelle Entscheidungsfindung.</v>
      </c>
      <c r="E14" s="2" t="s">
        <v>66</v>
      </c>
    </row>
    <row r="15" spans="1:5" ht="43.5" x14ac:dyDescent="0.35">
      <c r="A15" s="3" t="s">
        <v>25</v>
      </c>
      <c r="B15" s="2" t="str">
        <f>'Hilfstabelle Antworten'!A82</f>
        <v>Welche Anforderungen haben Sie an die Datenhaltung und -speicherung?</v>
      </c>
      <c r="C15" s="7">
        <v>4</v>
      </c>
      <c r="D15" s="2" t="str">
        <f>'Hilfstabelle Antworten'!B82</f>
        <v>Flexible und skalierbare Speicherlösungen sind entscheidend, um wachsende Datenmengen effizient zu verwalten.</v>
      </c>
      <c r="E15" s="2" t="s">
        <v>67</v>
      </c>
    </row>
    <row r="16" spans="1:5" ht="101.5" x14ac:dyDescent="0.35">
      <c r="A16" s="3" t="s">
        <v>25</v>
      </c>
      <c r="B16" s="2" t="str">
        <f>'Hilfstabelle Antworten'!A88</f>
        <v>Welchen Umfang von Compliance- und Datenschutzanforderungen werden benötigt?</v>
      </c>
      <c r="C16" s="7">
        <v>2</v>
      </c>
      <c r="D16" s="2" t="str">
        <f>'Hilfstabelle Antworten'!B88</f>
        <v>Die Einhaltung von Compliance- und Datenschutzanforderungen ist unerlässlich, um rechtliche Risiken zu minimieren und das Vertrauen der Kunden zu sichern.</v>
      </c>
      <c r="E16" s="2" t="s">
        <v>158</v>
      </c>
    </row>
    <row r="17" spans="1:5" ht="58" x14ac:dyDescent="0.35">
      <c r="A17" s="3" t="s">
        <v>32</v>
      </c>
      <c r="B17" s="2" t="str">
        <f>'Hilfstabelle Antworten'!A95</f>
        <v>Wie soll die Flexibilität bei den Lizenzkosten gestaltet werden?</v>
      </c>
      <c r="C17" s="7">
        <v>3</v>
      </c>
      <c r="D17" s="2" t="str">
        <f>'Hilfstabelle Antworten'!B95</f>
        <v>Flexibilität bei den Lizenzkosten ermöglicht es Unternehmen, ihre IoT-Lösung entsprechend ihrem Budget und ihren Bedürfnissen zu skalieren.</v>
      </c>
      <c r="E17" s="2" t="s">
        <v>159</v>
      </c>
    </row>
    <row r="18" spans="1:5" ht="58" x14ac:dyDescent="0.35">
      <c r="A18" s="3" t="s">
        <v>32</v>
      </c>
      <c r="B18" s="2" t="str">
        <f>'Hilfstabelle Antworten'!A101</f>
        <v xml:space="preserve">
Wie sollen die Kosten für die Skalierbarkeit bei steigender Nutzung gehandhabt werden?</v>
      </c>
      <c r="C18" s="7">
        <v>4</v>
      </c>
      <c r="D18" s="2" t="str">
        <f>'Hilfstabelle Antworten'!B101</f>
        <v>Eine skalierbare Kostenstruktur stellt sicher, dass die Betriebskosten nicht außer Kontrolle geraten, wenn die Nutzung der IoT-Plattform zunimmt.</v>
      </c>
      <c r="E18" s="2" t="s">
        <v>160</v>
      </c>
    </row>
    <row r="19" spans="1:5" ht="43.5" x14ac:dyDescent="0.35">
      <c r="A19" s="3" t="s">
        <v>32</v>
      </c>
      <c r="B19" s="2" t="str">
        <f>'Hilfstabelle Antworten'!A107</f>
        <v>Wie wichtig sind niedrige Gesamtbetriebskosten (TCO)?</v>
      </c>
      <c r="C19" s="7">
        <v>4</v>
      </c>
      <c r="D19" s="2" t="str">
        <f>'Hilfstabelle Antworten'!B107</f>
        <v>Niedrige Gesamtbetriebskosten sind entscheidend, um die Rentabilität der IoT-Lösung sicherzustellen.</v>
      </c>
      <c r="E19" s="2" t="s">
        <v>89</v>
      </c>
    </row>
    <row r="20" spans="1:5" ht="43.5" x14ac:dyDescent="0.35">
      <c r="A20" s="3" t="s">
        <v>32</v>
      </c>
      <c r="B20" s="2" t="str">
        <f>'Hilfstabelle Antworten'!A113</f>
        <v>Was an einem Lizenzmodell ist ihnen wichtig?</v>
      </c>
      <c r="C20" s="7">
        <v>3</v>
      </c>
      <c r="D20" s="2" t="str">
        <f>'Hilfstabelle Antworten'!B113</f>
        <v>Ein flexibles Lizenzmodell ermöglicht es Unternehmen, die Plattform optimal an ihre spezifischen Anforderungen anzupassen.</v>
      </c>
      <c r="E20" s="2" t="s">
        <v>161</v>
      </c>
    </row>
    <row r="21" spans="1:5" ht="58" x14ac:dyDescent="0.35">
      <c r="A21" s="3" t="s">
        <v>32</v>
      </c>
      <c r="B21" s="2" t="str">
        <f>'Hilfstabelle Antworten'!A119</f>
        <v>Welche Bedeutung haben niedrige Gesamtkosten pro Gerät?</v>
      </c>
      <c r="C21" s="7">
        <v>3</v>
      </c>
      <c r="D21" s="2" t="str">
        <f>'Hilfstabelle Antworten'!B119</f>
        <v>Geringe Kosten pro Gerät sind entscheidend, wenn viele IoT-Geräte im Einsatz sind, da dies die Betriebskosten direkt beeinflusst.</v>
      </c>
      <c r="E21" s="2" t="s">
        <v>162</v>
      </c>
    </row>
    <row r="22" spans="1:5" ht="58" x14ac:dyDescent="0.35">
      <c r="A22" s="3" t="s">
        <v>37</v>
      </c>
      <c r="B22" s="2" t="str">
        <f>'Hilfstabelle Antworten'!A126</f>
        <v>Wie wichtig ist Ihnen die Innovationskraft des Anbieters?</v>
      </c>
      <c r="C22" s="7">
        <v>4</v>
      </c>
      <c r="D22" s="2" t="str">
        <f>'Hilfstabelle Antworten'!B126</f>
        <v>Ein Anbieter mit hoher Innovationskraft kann schneller auf technologische Veränderungen reagieren und innovative Lösungen bereitstellen.</v>
      </c>
      <c r="E22" s="2" t="s">
        <v>70</v>
      </c>
    </row>
    <row r="23" spans="1:5" ht="58" x14ac:dyDescent="0.35">
      <c r="A23" s="3" t="s">
        <v>37</v>
      </c>
      <c r="B23" s="2" t="str">
        <f>'Hilfstabelle Antworten'!A132</f>
        <v>Benötigen Sie kontinuierliche technologische Weiterentwicklung?</v>
      </c>
      <c r="C23" s="7">
        <v>2</v>
      </c>
      <c r="D23" s="2" t="str">
        <f>'Hilfstabelle Antworten'!B132</f>
        <v>Stetige technologische Weiterentwicklung stellt sicher, dass die Plattform immer auf dem neuesten Stand ist und Sie von den neuesten Funktionen profitieren.</v>
      </c>
      <c r="E23" s="2" t="s">
        <v>163</v>
      </c>
    </row>
    <row r="24" spans="1:5" ht="87" x14ac:dyDescent="0.35">
      <c r="A24" s="3" t="s">
        <v>37</v>
      </c>
      <c r="B24" s="2" t="str">
        <f>'Hilfstabelle Antworten'!A138</f>
        <v>Wie wichtig ist Ihnen eine klare Roadmap und Zukunftsvision des Anbieters?</v>
      </c>
      <c r="C24" s="7">
        <v>4</v>
      </c>
      <c r="D24" s="2" t="str">
        <f>'Hilfstabelle Antworten'!B138</f>
        <v>Eine klare Roadmap gibt Ihnen Vertrauen in die langfristige Unterstützung und Weiterentwicklung der Plattform, was für die strategische Planung entscheidend ist.</v>
      </c>
      <c r="E24" s="2" t="s">
        <v>153</v>
      </c>
    </row>
    <row r="25" spans="1:5" ht="58" x14ac:dyDescent="0.35">
      <c r="A25" s="3" t="s">
        <v>37</v>
      </c>
      <c r="B25" s="2" t="str">
        <f>'Hilfstabelle Antworten'!A144</f>
        <v>Soll der der Anbieter weiter umfangreiche Forschung und Entwicklung betreiben?</v>
      </c>
      <c r="C25" s="7">
        <v>4</v>
      </c>
      <c r="D25" s="2" t="str">
        <f>'Hilfstabelle Antworten'!B144</f>
        <v>Umfangreiche F&amp;E-Aktivitäten zeigen, dass der Anbieter in die Zukunft investiert und innovative Technologien entwickelt, die Ihnen helfen können, sich weiterzuentwickeln.</v>
      </c>
      <c r="E25" s="2" t="s">
        <v>71</v>
      </c>
    </row>
    <row r="26" spans="1:5" ht="58" x14ac:dyDescent="0.35">
      <c r="A26" s="3" t="s">
        <v>37</v>
      </c>
      <c r="B26" s="2" t="str">
        <f>'Hilfstabelle Antworten'!A150</f>
        <v>Wie wichtig ist ein starkes Community- und Partnernetzwerk?</v>
      </c>
      <c r="C26" s="7">
        <v>1</v>
      </c>
      <c r="D26" s="2" t="str">
        <f>'Hilfstabelle Antworten'!B150</f>
        <v>Ein starkes Netzwerk ermöglicht Zugang zu zusätzlichen Ressourcen, Support und Integrationen, die den Erfolg Ihrer IoT-Lösung unterstützen.</v>
      </c>
      <c r="E26" s="2" t="s">
        <v>98</v>
      </c>
    </row>
  </sheetData>
  <pageMargins left="0.25" right="0.25" top="0.75" bottom="0.75" header="0.3" footer="0.3"/>
  <pageSetup paperSize="9" fitToHeight="0" orientation="portrait" r:id="rId1"/>
  <drawing r:id="rId2"/>
  <tableParts count="1">
    <tablePart r:id="rId3"/>
  </tableParts>
  <extLst>
    <ext xmlns:x14="http://schemas.microsoft.com/office/spreadsheetml/2009/9/main" uri="{CCE6A557-97BC-4b89-ADB6-D9C93CAAB3DF}">
      <x14:dataValidations xmlns:xm="http://schemas.microsoft.com/office/excel/2006/main" count="25">
        <x14:dataValidation type="list" allowBlank="1" showInputMessage="1" showErrorMessage="1" xr:uid="{F72A6828-B1DC-4F97-A7F1-191BECC33784}">
          <x14:formula1>
            <xm:f>'Hilfstabelle Antworten'!$A$4:$A$6</xm:f>
          </x14:formula1>
          <xm:sqref>E2</xm:sqref>
        </x14:dataValidation>
        <x14:dataValidation type="list" allowBlank="1" showInputMessage="1" showErrorMessage="1" xr:uid="{FAD7D571-884D-4DD1-9F68-E4C745F29826}">
          <x14:formula1>
            <xm:f>'Hilfstabelle Antworten'!$A$10:$A$12</xm:f>
          </x14:formula1>
          <xm:sqref>E3</xm:sqref>
        </x14:dataValidation>
        <x14:dataValidation type="list" allowBlank="1" showInputMessage="1" showErrorMessage="1" xr:uid="{372645C9-A141-4DA2-8BB2-D721BDC46FE1}">
          <x14:formula1>
            <xm:f>'Hilfstabelle Antworten'!$A$16:$A$18</xm:f>
          </x14:formula1>
          <xm:sqref>E4</xm:sqref>
        </x14:dataValidation>
        <x14:dataValidation type="list" allowBlank="1" showInputMessage="1" showErrorMessage="1" xr:uid="{86FCE8B4-8F5A-4DA9-A8F5-83A1427608FB}">
          <x14:formula1>
            <xm:f>'Hilfstabelle Antworten'!$A$22:$A$24</xm:f>
          </x14:formula1>
          <xm:sqref>E5</xm:sqref>
        </x14:dataValidation>
        <x14:dataValidation type="list" allowBlank="1" showInputMessage="1" showErrorMessage="1" xr:uid="{6311D0A0-499E-47F8-9122-18CF4CB116E2}">
          <x14:formula1>
            <xm:f>'Hilfstabelle Antworten'!$A$28:$A$30</xm:f>
          </x14:formula1>
          <xm:sqref>E6</xm:sqref>
        </x14:dataValidation>
        <x14:dataValidation type="list" allowBlank="1" showInputMessage="1" showErrorMessage="1" xr:uid="{257A0111-ECDF-45CC-8B15-3C15EEDF4D27}">
          <x14:formula1>
            <xm:f>'Hilfstabelle Antworten'!$A$35:$A$37</xm:f>
          </x14:formula1>
          <xm:sqref>E7</xm:sqref>
        </x14:dataValidation>
        <x14:dataValidation type="list" allowBlank="1" showInputMessage="1" showErrorMessage="1" xr:uid="{48150634-9F17-4EB6-8396-5932B2BFB6C0}">
          <x14:formula1>
            <xm:f>'Hilfstabelle Antworten'!$A$41:$A$43</xm:f>
          </x14:formula1>
          <xm:sqref>E8</xm:sqref>
        </x14:dataValidation>
        <x14:dataValidation type="list" allowBlank="1" showInputMessage="1" showErrorMessage="1" xr:uid="{A03229CC-DA4E-42ED-8604-95AB4A39DE94}">
          <x14:formula1>
            <xm:f>'Hilfstabelle Antworten'!$A$47:$A$49</xm:f>
          </x14:formula1>
          <xm:sqref>E9</xm:sqref>
        </x14:dataValidation>
        <x14:dataValidation type="list" allowBlank="1" showInputMessage="1" showErrorMessage="1" xr:uid="{466EE27C-67E1-4C4F-A668-CEDBBA6BEA05}">
          <x14:formula1>
            <xm:f>'Hilfstabelle Antworten'!$A$53:$A$55</xm:f>
          </x14:formula1>
          <xm:sqref>E10</xm:sqref>
        </x14:dataValidation>
        <x14:dataValidation type="list" allowBlank="1" showInputMessage="1" showErrorMessage="1" xr:uid="{BB42136E-9AA3-4263-BBEC-E1D59D7BAF0A}">
          <x14:formula1>
            <xm:f>'Hilfstabelle Antworten'!$A$59:$A$61</xm:f>
          </x14:formula1>
          <xm:sqref>E11</xm:sqref>
        </x14:dataValidation>
        <x14:dataValidation type="list" allowBlank="1" showInputMessage="1" showErrorMessage="1" xr:uid="{D3CE287F-773D-45E4-A991-E7D0C36D4A80}">
          <x14:formula1>
            <xm:f>'Hilfstabelle Antworten'!$A$72:$A$74</xm:f>
          </x14:formula1>
          <xm:sqref>E13</xm:sqref>
        </x14:dataValidation>
        <x14:dataValidation type="list" allowBlank="1" showInputMessage="1" showErrorMessage="1" xr:uid="{C9BA934C-478D-4511-B2DE-F2A704917611}">
          <x14:formula1>
            <xm:f>'Hilfstabelle Antworten'!$A$84:$A$86</xm:f>
          </x14:formula1>
          <xm:sqref>E15</xm:sqref>
        </x14:dataValidation>
        <x14:dataValidation type="list" allowBlank="1" showInputMessage="1" showErrorMessage="1" xr:uid="{B4B85834-841D-4BA9-8FDD-E131652C650B}">
          <x14:formula1>
            <xm:f>'Hilfstabelle Antworten'!$A$90:$A$92</xm:f>
          </x14:formula1>
          <xm:sqref>E16</xm:sqref>
        </x14:dataValidation>
        <x14:dataValidation type="list" allowBlank="1" showInputMessage="1" showErrorMessage="1" xr:uid="{0F127B05-0FD2-4F72-93D3-A9CC521B9CD5}">
          <x14:formula1>
            <xm:f>'Hilfstabelle Antworten'!$A$97:$A$99</xm:f>
          </x14:formula1>
          <xm:sqref>E17</xm:sqref>
        </x14:dataValidation>
        <x14:dataValidation type="list" allowBlank="1" showInputMessage="1" showErrorMessage="1" xr:uid="{E27EEA8A-73BC-41B3-8373-0B1ABCC876BD}">
          <x14:formula1>
            <xm:f>'Hilfstabelle Antworten'!$A$103:$A$105</xm:f>
          </x14:formula1>
          <xm:sqref>E18</xm:sqref>
        </x14:dataValidation>
        <x14:dataValidation type="list" allowBlank="1" showInputMessage="1" showErrorMessage="1" xr:uid="{2764270E-55F9-45FB-8F76-91D97F79609D}">
          <x14:formula1>
            <xm:f>'Hilfstabelle Antworten'!$A$109:$A$111</xm:f>
          </x14:formula1>
          <xm:sqref>E19</xm:sqref>
        </x14:dataValidation>
        <x14:dataValidation type="list" allowBlank="1" showInputMessage="1" showErrorMessage="1" xr:uid="{9DDB1762-8FA1-489D-ADDB-4BFBDB2CCE8D}">
          <x14:formula1>
            <xm:f>'Hilfstabelle Antworten'!$A$115:$A$117</xm:f>
          </x14:formula1>
          <xm:sqref>E20</xm:sqref>
        </x14:dataValidation>
        <x14:dataValidation type="list" allowBlank="1" showInputMessage="1" showErrorMessage="1" xr:uid="{8D7EA653-676B-4B61-BA39-D7A949C702DB}">
          <x14:formula1>
            <xm:f>'Hilfstabelle Antworten'!$A$121:$A$123</xm:f>
          </x14:formula1>
          <xm:sqref>E21</xm:sqref>
        </x14:dataValidation>
        <x14:dataValidation type="list" allowBlank="1" showInputMessage="1" showErrorMessage="1" xr:uid="{2BD7C72C-87C8-4C4E-987A-4A0C19A8918E}">
          <x14:formula1>
            <xm:f>'Hilfstabelle Antworten'!$A$128:$A$130</xm:f>
          </x14:formula1>
          <xm:sqref>E22</xm:sqref>
        </x14:dataValidation>
        <x14:dataValidation type="list" allowBlank="1" showInputMessage="1" showErrorMessage="1" xr:uid="{63C08887-C009-444D-B873-925B5C1AC781}">
          <x14:formula1>
            <xm:f>'Hilfstabelle Antworten'!$A$134:$A$136</xm:f>
          </x14:formula1>
          <xm:sqref>E23</xm:sqref>
        </x14:dataValidation>
        <x14:dataValidation type="list" allowBlank="1" showInputMessage="1" showErrorMessage="1" xr:uid="{2EAD7656-9FC3-4ABE-BDE4-E2F07A8652EA}">
          <x14:formula1>
            <xm:f>'Hilfstabelle Antworten'!$A$140:$A$142</xm:f>
          </x14:formula1>
          <xm:sqref>E24</xm:sqref>
        </x14:dataValidation>
        <x14:dataValidation type="list" allowBlank="1" showInputMessage="1" showErrorMessage="1" xr:uid="{6004670E-B7FC-490E-8AB2-6E367F839236}">
          <x14:formula1>
            <xm:f>'Hilfstabelle Antworten'!$A$146:$A$148</xm:f>
          </x14:formula1>
          <xm:sqref>E25</xm:sqref>
        </x14:dataValidation>
        <x14:dataValidation type="list" allowBlank="1" showInputMessage="1" showErrorMessage="1" xr:uid="{102D0ED7-D098-4B40-A778-4DCF7C0F4C7C}">
          <x14:formula1>
            <xm:f>'Hilfstabelle Antworten'!$A$152:$A$154</xm:f>
          </x14:formula1>
          <xm:sqref>E26</xm:sqref>
        </x14:dataValidation>
        <x14:dataValidation type="list" allowBlank="1" showInputMessage="1" showErrorMessage="1" xr:uid="{E5446D1B-8312-4C32-885D-EC71F901172F}">
          <x14:formula1>
            <xm:f>'Hilfstabelle Antworten'!$A$66:$A$68</xm:f>
          </x14:formula1>
          <xm:sqref>E12</xm:sqref>
        </x14:dataValidation>
        <x14:dataValidation type="list" allowBlank="1" showInputMessage="1" showErrorMessage="1" xr:uid="{3B9A318E-F986-4CDC-B52B-F4433A9CE526}">
          <x14:formula1>
            <xm:f>'Hilfstabelle Antworten'!$A$78:$A$80</xm:f>
          </x14:formula1>
          <xm:sqref>E14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EB59E-EFE1-49FF-AC24-5736C28104A9}">
  <sheetPr codeName="Tabelle1">
    <pageSetUpPr fitToPage="1"/>
  </sheetPr>
  <dimension ref="A1:E260"/>
  <sheetViews>
    <sheetView topLeftCell="A8" zoomScale="249" zoomScaleNormal="115" workbookViewId="0">
      <selection activeCell="B5" sqref="B5"/>
    </sheetView>
  </sheetViews>
  <sheetFormatPr baseColWidth="10" defaultColWidth="25.36328125" defaultRowHeight="14.5" x14ac:dyDescent="0.35"/>
  <cols>
    <col min="1" max="1" width="28.6328125" style="10" customWidth="1"/>
    <col min="2" max="2" width="27.6328125" style="9" customWidth="1"/>
  </cols>
  <sheetData>
    <row r="1" spans="1:5" ht="17.5" x14ac:dyDescent="0.35">
      <c r="A1" s="13" t="s">
        <v>12</v>
      </c>
      <c r="B1" s="14"/>
      <c r="C1" s="15"/>
      <c r="D1" s="4"/>
      <c r="E1" s="4"/>
    </row>
    <row r="2" spans="1:5" ht="72.5" x14ac:dyDescent="0.35">
      <c r="A2" s="16" t="s">
        <v>74</v>
      </c>
      <c r="B2" s="12" t="s">
        <v>13</v>
      </c>
      <c r="C2" s="17"/>
    </row>
    <row r="3" spans="1:5" x14ac:dyDescent="0.35">
      <c r="A3" s="16" t="s">
        <v>5</v>
      </c>
      <c r="B3" s="12"/>
      <c r="C3" s="17"/>
    </row>
    <row r="4" spans="1:5" ht="58" x14ac:dyDescent="0.35">
      <c r="A4" s="18" t="s">
        <v>102</v>
      </c>
      <c r="C4" s="19" t="s">
        <v>9</v>
      </c>
    </row>
    <row r="5" spans="1:5" ht="58" x14ac:dyDescent="0.35">
      <c r="A5" s="28" t="s">
        <v>72</v>
      </c>
      <c r="C5" s="19" t="s">
        <v>11</v>
      </c>
    </row>
    <row r="6" spans="1:5" ht="58" x14ac:dyDescent="0.35">
      <c r="A6" s="18" t="s">
        <v>73</v>
      </c>
      <c r="C6" s="19" t="s">
        <v>10</v>
      </c>
    </row>
    <row r="7" spans="1:5" x14ac:dyDescent="0.35">
      <c r="A7" s="20" t="s">
        <v>45</v>
      </c>
      <c r="B7" s="12" t="s">
        <v>45</v>
      </c>
      <c r="C7" s="17"/>
    </row>
    <row r="8" spans="1:5" ht="58" x14ac:dyDescent="0.35">
      <c r="A8" s="16" t="s">
        <v>75</v>
      </c>
      <c r="B8" s="12" t="s">
        <v>14</v>
      </c>
      <c r="C8" s="17"/>
    </row>
    <row r="9" spans="1:5" x14ac:dyDescent="0.35">
      <c r="A9" s="16" t="s">
        <v>5</v>
      </c>
      <c r="B9" s="12"/>
      <c r="C9" s="17"/>
    </row>
    <row r="10" spans="1:5" ht="29" x14ac:dyDescent="0.35">
      <c r="A10" s="18" t="s">
        <v>76</v>
      </c>
      <c r="C10" s="19" t="s">
        <v>9</v>
      </c>
    </row>
    <row r="11" spans="1:5" ht="29" x14ac:dyDescent="0.35">
      <c r="A11" s="18" t="s">
        <v>77</v>
      </c>
      <c r="C11" s="19" t="s">
        <v>11</v>
      </c>
    </row>
    <row r="12" spans="1:5" ht="43.5" x14ac:dyDescent="0.35">
      <c r="A12" s="18" t="s">
        <v>78</v>
      </c>
      <c r="C12" s="19" t="s">
        <v>10</v>
      </c>
    </row>
    <row r="13" spans="1:5" x14ac:dyDescent="0.35">
      <c r="A13" s="20" t="s">
        <v>45</v>
      </c>
      <c r="B13" s="12" t="s">
        <v>45</v>
      </c>
      <c r="C13" s="17"/>
    </row>
    <row r="14" spans="1:5" ht="72.5" x14ac:dyDescent="0.35">
      <c r="A14" s="16" t="s">
        <v>79</v>
      </c>
      <c r="B14" s="12" t="s">
        <v>15</v>
      </c>
      <c r="C14" s="17"/>
    </row>
    <row r="15" spans="1:5" x14ac:dyDescent="0.35">
      <c r="A15" s="16" t="s">
        <v>5</v>
      </c>
      <c r="B15" s="12"/>
      <c r="C15" s="17"/>
    </row>
    <row r="16" spans="1:5" ht="29" x14ac:dyDescent="0.35">
      <c r="A16" s="18" t="s">
        <v>80</v>
      </c>
      <c r="C16" s="19" t="s">
        <v>9</v>
      </c>
    </row>
    <row r="17" spans="1:3" ht="29" x14ac:dyDescent="0.35">
      <c r="A17" s="18" t="s">
        <v>81</v>
      </c>
      <c r="C17" s="19" t="s">
        <v>11</v>
      </c>
    </row>
    <row r="18" spans="1:3" ht="29" x14ac:dyDescent="0.35">
      <c r="A18" s="18" t="s">
        <v>82</v>
      </c>
      <c r="C18" s="19" t="s">
        <v>10</v>
      </c>
    </row>
    <row r="19" spans="1:3" x14ac:dyDescent="0.35">
      <c r="A19" s="20" t="s">
        <v>45</v>
      </c>
      <c r="B19" s="12" t="s">
        <v>45</v>
      </c>
      <c r="C19" s="17"/>
    </row>
    <row r="20" spans="1:3" ht="87" x14ac:dyDescent="0.35">
      <c r="A20" s="16" t="s">
        <v>83</v>
      </c>
      <c r="B20" s="12" t="s">
        <v>16</v>
      </c>
      <c r="C20" s="17"/>
    </row>
    <row r="21" spans="1:3" x14ac:dyDescent="0.35">
      <c r="A21" s="16" t="s">
        <v>5</v>
      </c>
      <c r="B21" s="12"/>
      <c r="C21" s="17"/>
    </row>
    <row r="22" spans="1:3" ht="43.5" x14ac:dyDescent="0.35">
      <c r="A22" s="18" t="s">
        <v>146</v>
      </c>
      <c r="C22" s="19" t="s">
        <v>9</v>
      </c>
    </row>
    <row r="23" spans="1:3" ht="29" x14ac:dyDescent="0.35">
      <c r="A23" s="18" t="s">
        <v>84</v>
      </c>
      <c r="C23" s="19" t="s">
        <v>11</v>
      </c>
    </row>
    <row r="24" spans="1:3" ht="43.5" x14ac:dyDescent="0.35">
      <c r="A24" s="18" t="s">
        <v>85</v>
      </c>
      <c r="C24" s="19" t="s">
        <v>10</v>
      </c>
    </row>
    <row r="25" spans="1:3" x14ac:dyDescent="0.35">
      <c r="A25" s="20" t="s">
        <v>45</v>
      </c>
      <c r="B25" s="12" t="s">
        <v>45</v>
      </c>
      <c r="C25" s="17"/>
    </row>
    <row r="26" spans="1:3" ht="58" x14ac:dyDescent="0.35">
      <c r="A26" s="16" t="s">
        <v>17</v>
      </c>
      <c r="B26" s="12" t="s">
        <v>18</v>
      </c>
      <c r="C26" s="17"/>
    </row>
    <row r="27" spans="1:3" x14ac:dyDescent="0.35">
      <c r="A27" s="16" t="s">
        <v>5</v>
      </c>
      <c r="B27" s="12"/>
      <c r="C27" s="17"/>
    </row>
    <row r="28" spans="1:3" ht="116" x14ac:dyDescent="0.35">
      <c r="A28" s="27" t="s">
        <v>139</v>
      </c>
      <c r="C28" s="19" t="s">
        <v>9</v>
      </c>
    </row>
    <row r="29" spans="1:3" ht="101.5" x14ac:dyDescent="0.35">
      <c r="A29" s="16" t="s">
        <v>86</v>
      </c>
      <c r="C29" s="19" t="s">
        <v>11</v>
      </c>
    </row>
    <row r="30" spans="1:3" ht="116" x14ac:dyDescent="0.35">
      <c r="A30" s="27" t="s">
        <v>140</v>
      </c>
      <c r="C30" s="19" t="s">
        <v>10</v>
      </c>
    </row>
    <row r="31" spans="1:3" x14ac:dyDescent="0.35">
      <c r="A31" s="24"/>
      <c r="C31" s="17"/>
    </row>
    <row r="32" spans="1:3" ht="29" x14ac:dyDescent="0.35">
      <c r="A32" s="25" t="s">
        <v>19</v>
      </c>
      <c r="B32" s="11"/>
      <c r="C32" s="17"/>
    </row>
    <row r="33" spans="1:3" ht="43.5" x14ac:dyDescent="0.35">
      <c r="A33" s="16" t="s">
        <v>91</v>
      </c>
      <c r="B33" s="12" t="s">
        <v>20</v>
      </c>
      <c r="C33" s="17"/>
    </row>
    <row r="34" spans="1:3" x14ac:dyDescent="0.35">
      <c r="A34" s="16" t="s">
        <v>5</v>
      </c>
      <c r="B34" s="12"/>
      <c r="C34" s="17"/>
    </row>
    <row r="35" spans="1:3" ht="29" x14ac:dyDescent="0.35">
      <c r="A35" s="16" t="s">
        <v>46</v>
      </c>
      <c r="C35" s="19" t="s">
        <v>9</v>
      </c>
    </row>
    <row r="36" spans="1:3" ht="43.5" x14ac:dyDescent="0.35">
      <c r="A36" s="16" t="s">
        <v>92</v>
      </c>
      <c r="C36" s="19" t="s">
        <v>11</v>
      </c>
    </row>
    <row r="37" spans="1:3" ht="29" x14ac:dyDescent="0.35">
      <c r="A37" s="16" t="s">
        <v>93</v>
      </c>
      <c r="C37" s="19" t="s">
        <v>10</v>
      </c>
    </row>
    <row r="38" spans="1:3" x14ac:dyDescent="0.35">
      <c r="A38" s="20" t="s">
        <v>45</v>
      </c>
      <c r="B38" s="12" t="s">
        <v>45</v>
      </c>
      <c r="C38" s="17"/>
    </row>
    <row r="39" spans="1:3" ht="43.5" x14ac:dyDescent="0.35">
      <c r="A39" s="16" t="s">
        <v>94</v>
      </c>
      <c r="B39" s="12" t="s">
        <v>21</v>
      </c>
      <c r="C39" s="17"/>
    </row>
    <row r="40" spans="1:3" x14ac:dyDescent="0.35">
      <c r="A40" s="16" t="s">
        <v>5</v>
      </c>
      <c r="B40" s="12"/>
      <c r="C40" s="17"/>
    </row>
    <row r="41" spans="1:3" ht="29" x14ac:dyDescent="0.35">
      <c r="A41" s="16" t="s">
        <v>95</v>
      </c>
      <c r="B41" s="12"/>
      <c r="C41" s="19" t="s">
        <v>9</v>
      </c>
    </row>
    <row r="42" spans="1:3" ht="58" x14ac:dyDescent="0.35">
      <c r="A42" s="16" t="s">
        <v>147</v>
      </c>
      <c r="B42" s="12"/>
      <c r="C42" s="19" t="s">
        <v>11</v>
      </c>
    </row>
    <row r="43" spans="1:3" ht="58" x14ac:dyDescent="0.35">
      <c r="A43" s="20" t="s">
        <v>148</v>
      </c>
      <c r="B43" s="12"/>
      <c r="C43" s="19" t="s">
        <v>10</v>
      </c>
    </row>
    <row r="44" spans="1:3" x14ac:dyDescent="0.35">
      <c r="A44" s="20" t="s">
        <v>45</v>
      </c>
      <c r="B44" s="12" t="s">
        <v>45</v>
      </c>
      <c r="C44" s="17"/>
    </row>
    <row r="45" spans="1:3" ht="72.5" x14ac:dyDescent="0.35">
      <c r="A45" s="16" t="s">
        <v>96</v>
      </c>
      <c r="B45" s="12" t="s">
        <v>22</v>
      </c>
      <c r="C45" s="17"/>
    </row>
    <row r="46" spans="1:3" x14ac:dyDescent="0.35">
      <c r="A46" s="16" t="s">
        <v>5</v>
      </c>
      <c r="B46" s="12"/>
      <c r="C46" s="17"/>
    </row>
    <row r="47" spans="1:3" ht="43.5" x14ac:dyDescent="0.35">
      <c r="A47" s="16" t="s">
        <v>47</v>
      </c>
      <c r="C47" s="19" t="s">
        <v>9</v>
      </c>
    </row>
    <row r="48" spans="1:3" ht="43.5" x14ac:dyDescent="0.35">
      <c r="A48" s="16" t="s">
        <v>48</v>
      </c>
      <c r="C48" s="19" t="s">
        <v>11</v>
      </c>
    </row>
    <row r="49" spans="1:3" ht="29" x14ac:dyDescent="0.35">
      <c r="A49" s="16" t="s">
        <v>49</v>
      </c>
      <c r="C49" s="19" t="s">
        <v>10</v>
      </c>
    </row>
    <row r="50" spans="1:3" x14ac:dyDescent="0.35">
      <c r="A50" s="20" t="s">
        <v>45</v>
      </c>
      <c r="B50" s="12" t="s">
        <v>45</v>
      </c>
      <c r="C50" s="17"/>
    </row>
    <row r="51" spans="1:3" ht="58" x14ac:dyDescent="0.35">
      <c r="A51" s="16" t="s">
        <v>103</v>
      </c>
      <c r="B51" s="12" t="s">
        <v>23</v>
      </c>
      <c r="C51" s="17"/>
    </row>
    <row r="52" spans="1:3" x14ac:dyDescent="0.35">
      <c r="A52" s="16" t="s">
        <v>5</v>
      </c>
      <c r="B52" s="12"/>
      <c r="C52" s="17"/>
    </row>
    <row r="53" spans="1:3" ht="43.5" x14ac:dyDescent="0.35">
      <c r="A53" s="20" t="s">
        <v>104</v>
      </c>
      <c r="C53" s="19" t="s">
        <v>9</v>
      </c>
    </row>
    <row r="54" spans="1:3" ht="43.5" x14ac:dyDescent="0.35">
      <c r="A54" s="16" t="s">
        <v>105</v>
      </c>
      <c r="C54" s="19" t="s">
        <v>11</v>
      </c>
    </row>
    <row r="55" spans="1:3" ht="58" x14ac:dyDescent="0.35">
      <c r="A55" s="16" t="s">
        <v>106</v>
      </c>
      <c r="C55" s="19" t="s">
        <v>10</v>
      </c>
    </row>
    <row r="56" spans="1:3" x14ac:dyDescent="0.35">
      <c r="A56" s="20" t="s">
        <v>45</v>
      </c>
      <c r="B56" s="12" t="s">
        <v>45</v>
      </c>
      <c r="C56" s="17"/>
    </row>
    <row r="57" spans="1:3" ht="58" x14ac:dyDescent="0.35">
      <c r="A57" s="16" t="s">
        <v>107</v>
      </c>
      <c r="B57" s="12" t="s">
        <v>24</v>
      </c>
      <c r="C57" s="17"/>
    </row>
    <row r="58" spans="1:3" x14ac:dyDescent="0.35">
      <c r="A58" s="16" t="s">
        <v>5</v>
      </c>
      <c r="B58" s="12"/>
      <c r="C58" s="17"/>
    </row>
    <row r="59" spans="1:3" ht="43.5" x14ac:dyDescent="0.35">
      <c r="A59" s="16" t="s">
        <v>50</v>
      </c>
      <c r="C59" s="19" t="s">
        <v>9</v>
      </c>
    </row>
    <row r="60" spans="1:3" ht="43.5" x14ac:dyDescent="0.35">
      <c r="A60" s="16" t="s">
        <v>108</v>
      </c>
      <c r="C60" s="19" t="s">
        <v>11</v>
      </c>
    </row>
    <row r="61" spans="1:3" ht="29" x14ac:dyDescent="0.35">
      <c r="A61" s="16" t="s">
        <v>109</v>
      </c>
      <c r="C61" s="19" t="s">
        <v>10</v>
      </c>
    </row>
    <row r="62" spans="1:3" x14ac:dyDescent="0.35">
      <c r="A62" s="24"/>
      <c r="C62" s="17"/>
    </row>
    <row r="63" spans="1:3" ht="29" x14ac:dyDescent="0.35">
      <c r="A63" s="25" t="s">
        <v>25</v>
      </c>
      <c r="B63" s="11"/>
      <c r="C63" s="17"/>
    </row>
    <row r="64" spans="1:3" ht="58" x14ac:dyDescent="0.35">
      <c r="A64" s="16" t="s">
        <v>110</v>
      </c>
      <c r="B64" s="12" t="s">
        <v>26</v>
      </c>
      <c r="C64" s="17"/>
    </row>
    <row r="65" spans="1:3" x14ac:dyDescent="0.35">
      <c r="A65" s="16" t="s">
        <v>5</v>
      </c>
      <c r="B65" s="12"/>
      <c r="C65" s="17"/>
    </row>
    <row r="66" spans="1:3" ht="43.5" x14ac:dyDescent="0.35">
      <c r="A66" s="16" t="s">
        <v>51</v>
      </c>
      <c r="C66" s="19" t="s">
        <v>9</v>
      </c>
    </row>
    <row r="67" spans="1:3" ht="29" x14ac:dyDescent="0.35">
      <c r="A67" s="16" t="s">
        <v>52</v>
      </c>
      <c r="C67" s="19" t="s">
        <v>11</v>
      </c>
    </row>
    <row r="68" spans="1:3" ht="29" x14ac:dyDescent="0.35">
      <c r="A68" s="16" t="s">
        <v>53</v>
      </c>
      <c r="C68" s="19" t="s">
        <v>10</v>
      </c>
    </row>
    <row r="69" spans="1:3" x14ac:dyDescent="0.35">
      <c r="A69" s="20" t="s">
        <v>45</v>
      </c>
      <c r="B69" s="12" t="s">
        <v>45</v>
      </c>
      <c r="C69" s="17"/>
    </row>
    <row r="70" spans="1:3" ht="58" x14ac:dyDescent="0.35">
      <c r="A70" s="16" t="s">
        <v>27</v>
      </c>
      <c r="B70" s="12" t="s">
        <v>28</v>
      </c>
      <c r="C70" s="17"/>
    </row>
    <row r="71" spans="1:3" x14ac:dyDescent="0.35">
      <c r="A71" s="16" t="s">
        <v>5</v>
      </c>
      <c r="B71" s="12"/>
      <c r="C71" s="17"/>
    </row>
    <row r="72" spans="1:3" ht="58" x14ac:dyDescent="0.35">
      <c r="A72" s="16" t="s">
        <v>149</v>
      </c>
      <c r="C72" s="19" t="s">
        <v>9</v>
      </c>
    </row>
    <row r="73" spans="1:3" ht="43.5" x14ac:dyDescent="0.35">
      <c r="A73" s="16" t="s">
        <v>111</v>
      </c>
      <c r="C73" s="19" t="s">
        <v>11</v>
      </c>
    </row>
    <row r="74" spans="1:3" ht="43.5" x14ac:dyDescent="0.35">
      <c r="A74" s="16" t="s">
        <v>112</v>
      </c>
      <c r="C74" s="19" t="s">
        <v>10</v>
      </c>
    </row>
    <row r="75" spans="1:3" x14ac:dyDescent="0.35">
      <c r="A75" s="20" t="s">
        <v>45</v>
      </c>
      <c r="B75" s="12" t="s">
        <v>45</v>
      </c>
      <c r="C75" s="17"/>
    </row>
    <row r="76" spans="1:3" ht="58" x14ac:dyDescent="0.35">
      <c r="A76" s="16" t="s">
        <v>113</v>
      </c>
      <c r="B76" s="12" t="s">
        <v>141</v>
      </c>
      <c r="C76" s="17"/>
    </row>
    <row r="77" spans="1:3" x14ac:dyDescent="0.35">
      <c r="A77" s="16" t="s">
        <v>5</v>
      </c>
      <c r="B77" s="12"/>
      <c r="C77" s="17"/>
    </row>
    <row r="78" spans="1:3" ht="43.5" x14ac:dyDescent="0.35">
      <c r="A78" s="16" t="s">
        <v>54</v>
      </c>
      <c r="C78" s="19" t="s">
        <v>9</v>
      </c>
    </row>
    <row r="79" spans="1:3" ht="43.5" x14ac:dyDescent="0.35">
      <c r="A79" s="16" t="s">
        <v>114</v>
      </c>
      <c r="C79" s="19" t="s">
        <v>11</v>
      </c>
    </row>
    <row r="80" spans="1:3" ht="43.5" x14ac:dyDescent="0.35">
      <c r="A80" s="16" t="s">
        <v>55</v>
      </c>
      <c r="C80" s="19" t="s">
        <v>10</v>
      </c>
    </row>
    <row r="81" spans="1:3" x14ac:dyDescent="0.35">
      <c r="A81" s="20" t="s">
        <v>45</v>
      </c>
      <c r="B81" s="12" t="s">
        <v>45</v>
      </c>
      <c r="C81" s="17"/>
    </row>
    <row r="82" spans="1:3" ht="72.5" x14ac:dyDescent="0.35">
      <c r="A82" s="16" t="s">
        <v>29</v>
      </c>
      <c r="B82" s="12" t="s">
        <v>30</v>
      </c>
      <c r="C82" s="17"/>
    </row>
    <row r="83" spans="1:3" x14ac:dyDescent="0.35">
      <c r="A83" s="16" t="s">
        <v>5</v>
      </c>
      <c r="B83" s="12"/>
      <c r="C83" s="17"/>
    </row>
    <row r="84" spans="1:3" ht="29" x14ac:dyDescent="0.35">
      <c r="A84" s="16" t="s">
        <v>56</v>
      </c>
      <c r="C84" s="19" t="s">
        <v>9</v>
      </c>
    </row>
    <row r="85" spans="1:3" ht="43.5" x14ac:dyDescent="0.35">
      <c r="A85" s="16" t="s">
        <v>57</v>
      </c>
      <c r="C85" s="19" t="s">
        <v>11</v>
      </c>
    </row>
    <row r="86" spans="1:3" ht="29" x14ac:dyDescent="0.35">
      <c r="A86" s="16" t="s">
        <v>58</v>
      </c>
      <c r="C86" s="19" t="s">
        <v>10</v>
      </c>
    </row>
    <row r="87" spans="1:3" x14ac:dyDescent="0.35">
      <c r="A87" s="20" t="s">
        <v>45</v>
      </c>
      <c r="B87" s="12" t="s">
        <v>45</v>
      </c>
      <c r="C87" s="17"/>
    </row>
    <row r="88" spans="1:3" ht="72.5" x14ac:dyDescent="0.35">
      <c r="A88" s="16" t="s">
        <v>115</v>
      </c>
      <c r="B88" s="12" t="s">
        <v>31</v>
      </c>
      <c r="C88" s="17"/>
    </row>
    <row r="89" spans="1:3" x14ac:dyDescent="0.35">
      <c r="A89" s="16" t="s">
        <v>5</v>
      </c>
      <c r="B89" s="12"/>
      <c r="C89" s="17"/>
    </row>
    <row r="90" spans="1:3" ht="130.5" x14ac:dyDescent="0.35">
      <c r="A90" s="27" t="s">
        <v>142</v>
      </c>
      <c r="C90" s="19" t="s">
        <v>9</v>
      </c>
    </row>
    <row r="91" spans="1:3" ht="116" x14ac:dyDescent="0.35">
      <c r="A91" s="27" t="s">
        <v>143</v>
      </c>
      <c r="C91" s="19" t="s">
        <v>11</v>
      </c>
    </row>
    <row r="92" spans="1:3" ht="116" x14ac:dyDescent="0.35">
      <c r="A92" s="27" t="s">
        <v>144</v>
      </c>
      <c r="C92" s="19" t="s">
        <v>10</v>
      </c>
    </row>
    <row r="93" spans="1:3" x14ac:dyDescent="0.35">
      <c r="A93" s="24"/>
      <c r="C93" s="17"/>
    </row>
    <row r="94" spans="1:3" x14ac:dyDescent="0.35">
      <c r="A94" s="25" t="s">
        <v>32</v>
      </c>
      <c r="B94" s="11" t="s">
        <v>4</v>
      </c>
      <c r="C94" s="17"/>
    </row>
    <row r="95" spans="1:3" ht="72.5" x14ac:dyDescent="0.35">
      <c r="A95" s="16" t="s">
        <v>117</v>
      </c>
      <c r="B95" s="12" t="s">
        <v>33</v>
      </c>
      <c r="C95" s="17"/>
    </row>
    <row r="96" spans="1:3" x14ac:dyDescent="0.35">
      <c r="A96" s="16" t="s">
        <v>5</v>
      </c>
      <c r="B96" s="12"/>
      <c r="C96" s="17"/>
    </row>
    <row r="97" spans="1:3" x14ac:dyDescent="0.35">
      <c r="A97" t="s">
        <v>155</v>
      </c>
      <c r="C97" s="19" t="s">
        <v>9</v>
      </c>
    </row>
    <row r="98" spans="1:3" ht="58" x14ac:dyDescent="0.35">
      <c r="A98" s="16" t="s">
        <v>119</v>
      </c>
      <c r="C98" s="19" t="s">
        <v>11</v>
      </c>
    </row>
    <row r="99" spans="1:3" ht="58" x14ac:dyDescent="0.35">
      <c r="A99" s="16" t="s">
        <v>118</v>
      </c>
      <c r="C99" s="19" t="s">
        <v>10</v>
      </c>
    </row>
    <row r="100" spans="1:3" x14ac:dyDescent="0.35">
      <c r="A100" s="20" t="s">
        <v>45</v>
      </c>
      <c r="B100" s="12" t="s">
        <v>45</v>
      </c>
      <c r="C100" s="17"/>
    </row>
    <row r="101" spans="1:3" ht="87" x14ac:dyDescent="0.35">
      <c r="A101" s="16" t="s">
        <v>120</v>
      </c>
      <c r="B101" s="12" t="s">
        <v>34</v>
      </c>
      <c r="C101" s="17"/>
    </row>
    <row r="102" spans="1:3" x14ac:dyDescent="0.35">
      <c r="A102" s="16" t="s">
        <v>5</v>
      </c>
      <c r="B102" s="12"/>
      <c r="C102" s="17"/>
    </row>
    <row r="103" spans="1:3" ht="43.5" x14ac:dyDescent="0.35">
      <c r="A103" s="16" t="s">
        <v>121</v>
      </c>
      <c r="C103" s="19" t="s">
        <v>9</v>
      </c>
    </row>
    <row r="104" spans="1:3" ht="58" x14ac:dyDescent="0.35">
      <c r="A104" s="16" t="s">
        <v>123</v>
      </c>
      <c r="C104" s="19" t="s">
        <v>11</v>
      </c>
    </row>
    <row r="105" spans="1:3" ht="58" x14ac:dyDescent="0.35">
      <c r="A105" s="16" t="s">
        <v>122</v>
      </c>
      <c r="C105" s="19" t="s">
        <v>10</v>
      </c>
    </row>
    <row r="106" spans="1:3" x14ac:dyDescent="0.35">
      <c r="A106" s="20" t="s">
        <v>45</v>
      </c>
      <c r="B106" s="12" t="s">
        <v>45</v>
      </c>
      <c r="C106" s="17"/>
    </row>
    <row r="107" spans="1:3" ht="58" x14ac:dyDescent="0.35">
      <c r="A107" s="16" t="s">
        <v>124</v>
      </c>
      <c r="B107" s="12" t="s">
        <v>35</v>
      </c>
      <c r="C107" s="17"/>
    </row>
    <row r="108" spans="1:3" x14ac:dyDescent="0.35">
      <c r="A108" s="16" t="s">
        <v>5</v>
      </c>
      <c r="B108" s="12"/>
      <c r="C108" s="17"/>
    </row>
    <row r="109" spans="1:3" ht="72.5" x14ac:dyDescent="0.35">
      <c r="A109" s="16" t="s">
        <v>126</v>
      </c>
      <c r="C109" s="19" t="s">
        <v>9</v>
      </c>
    </row>
    <row r="110" spans="1:3" ht="58" x14ac:dyDescent="0.35">
      <c r="A110" s="16" t="s">
        <v>125</v>
      </c>
      <c r="C110" s="19" t="s">
        <v>11</v>
      </c>
    </row>
    <row r="111" spans="1:3" ht="72.5" x14ac:dyDescent="0.35">
      <c r="A111" s="16" t="s">
        <v>127</v>
      </c>
      <c r="C111" s="19" t="s">
        <v>10</v>
      </c>
    </row>
    <row r="112" spans="1:3" x14ac:dyDescent="0.35">
      <c r="A112" s="20" t="s">
        <v>45</v>
      </c>
      <c r="B112" s="12" t="s">
        <v>45</v>
      </c>
      <c r="C112" s="17"/>
    </row>
    <row r="113" spans="1:3" ht="72.5" x14ac:dyDescent="0.35">
      <c r="A113" s="16" t="s">
        <v>150</v>
      </c>
      <c r="B113" s="12" t="s">
        <v>36</v>
      </c>
      <c r="C113" s="17"/>
    </row>
    <row r="114" spans="1:3" x14ac:dyDescent="0.35">
      <c r="A114" s="16" t="s">
        <v>5</v>
      </c>
      <c r="B114" s="12"/>
      <c r="C114" s="17"/>
    </row>
    <row r="115" spans="1:3" ht="29" x14ac:dyDescent="0.35">
      <c r="A115" s="16" t="s">
        <v>129</v>
      </c>
      <c r="C115" s="19" t="s">
        <v>9</v>
      </c>
    </row>
    <row r="116" spans="1:3" ht="29" x14ac:dyDescent="0.35">
      <c r="A116" s="16" t="s">
        <v>128</v>
      </c>
      <c r="C116" s="19" t="s">
        <v>11</v>
      </c>
    </row>
    <row r="117" spans="1:3" ht="43.5" x14ac:dyDescent="0.35">
      <c r="A117" s="16" t="s">
        <v>130</v>
      </c>
      <c r="C117" s="19" t="s">
        <v>10</v>
      </c>
    </row>
    <row r="118" spans="1:3" x14ac:dyDescent="0.35">
      <c r="A118" s="20" t="s">
        <v>45</v>
      </c>
      <c r="B118" s="12" t="s">
        <v>45</v>
      </c>
      <c r="C118" s="17"/>
    </row>
    <row r="119" spans="1:3" ht="72.5" x14ac:dyDescent="0.35">
      <c r="A119" s="16" t="s">
        <v>131</v>
      </c>
      <c r="B119" s="12" t="s">
        <v>145</v>
      </c>
      <c r="C119" s="17"/>
    </row>
    <row r="120" spans="1:3" x14ac:dyDescent="0.35">
      <c r="A120" s="16" t="s">
        <v>5</v>
      </c>
      <c r="B120" s="12"/>
      <c r="C120" s="17"/>
    </row>
    <row r="121" spans="1:3" ht="72.5" x14ac:dyDescent="0.35">
      <c r="A121" s="16" t="s">
        <v>132</v>
      </c>
      <c r="C121" s="19" t="s">
        <v>9</v>
      </c>
    </row>
    <row r="122" spans="1:3" ht="72.5" x14ac:dyDescent="0.35">
      <c r="A122" s="16" t="s">
        <v>133</v>
      </c>
      <c r="C122" s="19" t="s">
        <v>11</v>
      </c>
    </row>
    <row r="123" spans="1:3" ht="72.5" x14ac:dyDescent="0.35">
      <c r="A123" s="16" t="s">
        <v>134</v>
      </c>
      <c r="C123" s="19" t="s">
        <v>10</v>
      </c>
    </row>
    <row r="124" spans="1:3" x14ac:dyDescent="0.35">
      <c r="A124" s="24"/>
      <c r="C124" s="17"/>
    </row>
    <row r="125" spans="1:3" ht="29" x14ac:dyDescent="0.35">
      <c r="A125" s="25" t="s">
        <v>37</v>
      </c>
      <c r="B125" s="11" t="s">
        <v>4</v>
      </c>
      <c r="C125" s="17"/>
    </row>
    <row r="126" spans="1:3" ht="87" x14ac:dyDescent="0.35">
      <c r="A126" s="16" t="s">
        <v>38</v>
      </c>
      <c r="B126" s="12" t="s">
        <v>39</v>
      </c>
      <c r="C126" s="17"/>
    </row>
    <row r="127" spans="1:3" x14ac:dyDescent="0.35">
      <c r="A127" s="16" t="s">
        <v>5</v>
      </c>
      <c r="B127" s="12"/>
      <c r="C127" s="17"/>
    </row>
    <row r="128" spans="1:3" ht="29" x14ac:dyDescent="0.35">
      <c r="A128" s="16" t="s">
        <v>59</v>
      </c>
      <c r="C128" s="19" t="s">
        <v>9</v>
      </c>
    </row>
    <row r="129" spans="1:3" ht="43.5" x14ac:dyDescent="0.35">
      <c r="A129" s="16" t="s">
        <v>60</v>
      </c>
      <c r="C129" s="19" t="s">
        <v>11</v>
      </c>
    </row>
    <row r="130" spans="1:3" ht="29" x14ac:dyDescent="0.35">
      <c r="A130" s="16" t="s">
        <v>61</v>
      </c>
      <c r="C130" s="19" t="s">
        <v>10</v>
      </c>
    </row>
    <row r="131" spans="1:3" x14ac:dyDescent="0.35">
      <c r="A131" s="20" t="s">
        <v>45</v>
      </c>
      <c r="B131" s="12" t="s">
        <v>45</v>
      </c>
      <c r="C131" s="17"/>
    </row>
    <row r="132" spans="1:3" ht="87" x14ac:dyDescent="0.35">
      <c r="A132" s="16" t="s">
        <v>135</v>
      </c>
      <c r="B132" s="12" t="s">
        <v>40</v>
      </c>
      <c r="C132" s="17"/>
    </row>
    <row r="133" spans="1:3" x14ac:dyDescent="0.35">
      <c r="A133" s="16" t="s">
        <v>5</v>
      </c>
      <c r="B133" s="12"/>
      <c r="C133" s="17"/>
    </row>
    <row r="134" spans="1:3" ht="72.5" x14ac:dyDescent="0.35">
      <c r="A134" s="16" t="s">
        <v>136</v>
      </c>
      <c r="C134" s="19" t="s">
        <v>9</v>
      </c>
    </row>
    <row r="135" spans="1:3" ht="87" x14ac:dyDescent="0.35">
      <c r="A135" s="16" t="s">
        <v>137</v>
      </c>
      <c r="C135" s="19" t="s">
        <v>11</v>
      </c>
    </row>
    <row r="136" spans="1:3" ht="72.5" x14ac:dyDescent="0.35">
      <c r="A136" s="16" t="s">
        <v>138</v>
      </c>
      <c r="C136" s="19" t="s">
        <v>10</v>
      </c>
    </row>
    <row r="137" spans="1:3" x14ac:dyDescent="0.35">
      <c r="A137" s="20" t="s">
        <v>45</v>
      </c>
      <c r="B137" s="12" t="s">
        <v>45</v>
      </c>
      <c r="C137" s="17"/>
    </row>
    <row r="138" spans="1:3" ht="87" x14ac:dyDescent="0.35">
      <c r="A138" s="16" t="s">
        <v>41</v>
      </c>
      <c r="B138" s="12" t="s">
        <v>42</v>
      </c>
      <c r="C138" s="17"/>
    </row>
    <row r="139" spans="1:3" x14ac:dyDescent="0.35">
      <c r="A139" s="16" t="s">
        <v>5</v>
      </c>
      <c r="B139" s="12"/>
      <c r="C139" s="17"/>
    </row>
    <row r="140" spans="1:3" ht="101.5" x14ac:dyDescent="0.35">
      <c r="A140" s="16" t="s">
        <v>154</v>
      </c>
      <c r="C140" s="19" t="s">
        <v>9</v>
      </c>
    </row>
    <row r="141" spans="1:3" ht="101.5" x14ac:dyDescent="0.35">
      <c r="A141" s="16" t="s">
        <v>152</v>
      </c>
      <c r="C141" s="19" t="s">
        <v>11</v>
      </c>
    </row>
    <row r="142" spans="1:3" ht="101.5" x14ac:dyDescent="0.35">
      <c r="A142" s="16" t="s">
        <v>151</v>
      </c>
      <c r="C142" s="19" t="s">
        <v>10</v>
      </c>
    </row>
    <row r="143" spans="1:3" x14ac:dyDescent="0.35">
      <c r="A143" s="20" t="s">
        <v>45</v>
      </c>
      <c r="B143" s="12" t="s">
        <v>45</v>
      </c>
      <c r="C143" s="17"/>
    </row>
    <row r="144" spans="1:3" ht="87" x14ac:dyDescent="0.35">
      <c r="A144" s="16" t="s">
        <v>101</v>
      </c>
      <c r="B144" s="12" t="s">
        <v>43</v>
      </c>
      <c r="C144" s="17"/>
    </row>
    <row r="145" spans="1:3" x14ac:dyDescent="0.35">
      <c r="A145" s="16" t="s">
        <v>5</v>
      </c>
      <c r="B145" s="12"/>
      <c r="C145" s="17"/>
    </row>
    <row r="146" spans="1:3" ht="29" x14ac:dyDescent="0.35">
      <c r="A146" s="16" t="s">
        <v>62</v>
      </c>
      <c r="C146" s="19" t="s">
        <v>9</v>
      </c>
    </row>
    <row r="147" spans="1:3" ht="29" x14ac:dyDescent="0.35">
      <c r="A147" s="16" t="s">
        <v>63</v>
      </c>
      <c r="C147" s="19" t="s">
        <v>11</v>
      </c>
    </row>
    <row r="148" spans="1:3" ht="29" x14ac:dyDescent="0.35">
      <c r="A148" s="16" t="s">
        <v>64</v>
      </c>
      <c r="C148" s="19" t="s">
        <v>10</v>
      </c>
    </row>
    <row r="149" spans="1:3" x14ac:dyDescent="0.35">
      <c r="A149" s="20" t="s">
        <v>45</v>
      </c>
      <c r="B149" s="12" t="s">
        <v>45</v>
      </c>
      <c r="C149" s="17"/>
    </row>
    <row r="150" spans="1:3" ht="72.5" x14ac:dyDescent="0.35">
      <c r="A150" s="16" t="s">
        <v>97</v>
      </c>
      <c r="B150" s="12" t="s">
        <v>44</v>
      </c>
      <c r="C150" s="17"/>
    </row>
    <row r="151" spans="1:3" x14ac:dyDescent="0.35">
      <c r="A151" s="16" t="s">
        <v>5</v>
      </c>
      <c r="B151" s="12"/>
      <c r="C151" s="17"/>
    </row>
    <row r="152" spans="1:3" ht="43.5" x14ac:dyDescent="0.35">
      <c r="A152" s="26" t="s">
        <v>98</v>
      </c>
      <c r="C152" s="19" t="s">
        <v>9</v>
      </c>
    </row>
    <row r="153" spans="1:3" ht="43.5" x14ac:dyDescent="0.35">
      <c r="A153" s="16" t="s">
        <v>99</v>
      </c>
      <c r="C153" s="19" t="s">
        <v>11</v>
      </c>
    </row>
    <row r="154" spans="1:3" ht="29.5" thickBot="1" x14ac:dyDescent="0.4">
      <c r="A154" s="21" t="s">
        <v>100</v>
      </c>
      <c r="B154" s="22"/>
      <c r="C154" s="23" t="s">
        <v>10</v>
      </c>
    </row>
    <row r="155" spans="1:3" x14ac:dyDescent="0.35">
      <c r="A155"/>
      <c r="B155"/>
    </row>
    <row r="156" spans="1:3" x14ac:dyDescent="0.35">
      <c r="A156"/>
      <c r="B156"/>
    </row>
    <row r="157" spans="1:3" x14ac:dyDescent="0.35">
      <c r="A157"/>
      <c r="B157"/>
    </row>
    <row r="158" spans="1:3" x14ac:dyDescent="0.35">
      <c r="A158"/>
      <c r="B158"/>
    </row>
    <row r="159" spans="1:3" x14ac:dyDescent="0.35">
      <c r="A159"/>
      <c r="B159"/>
    </row>
    <row r="160" spans="1:3" x14ac:dyDescent="0.35">
      <c r="A160"/>
      <c r="B160"/>
    </row>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sheetData>
  <pageMargins left="0.25" right="0.25" top="0.75" bottom="0.75" header="0.3" footer="0.3"/>
  <pageSetup paperSize="9" fitToHeight="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Auswertung</vt:lpstr>
      <vt:lpstr>Fragenkatalog</vt:lpstr>
      <vt:lpstr>Hilfstabelle Antworten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Dressel, Philip</dc:creator>
  <cp:lastModifiedBy>Philip Dreßel</cp:lastModifiedBy>
  <cp:lastPrinted>2024-08-15T09:48:26Z</cp:lastPrinted>
  <dcterms:created xsi:type="dcterms:W3CDTF">2024-06-22T08:58:56Z</dcterms:created>
  <dcterms:modified xsi:type="dcterms:W3CDTF">2024-08-21T15:49:05Z</dcterms:modified>
</cp:coreProperties>
</file>